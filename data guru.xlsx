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PLIKASI\Sistem Informasi Absensi dan Dispos\"/>
    </mc:Choice>
  </mc:AlternateContent>
  <bookViews>
    <workbookView xWindow="0" yWindow="0" windowWidth="23040" windowHeight="8700" firstSheet="1" activeTab="1"/>
  </bookViews>
  <sheets>
    <sheet name="DATA" sheetId="1" state="hidden" r:id="rId1"/>
    <sheet name="DUK_GURU" sheetId="2" r:id="rId2"/>
    <sheet name="LABEL NAMA URUT " sheetId="8" state="hidden" r:id="rId3"/>
    <sheet name="data absen" sheetId="12" r:id="rId4"/>
    <sheet name="REKAP TENDIK SMAN 1 BATU" sheetId="10" state="hidden" r:id="rId5"/>
    <sheet name="Sheet3" sheetId="7" state="hidden" r:id="rId6"/>
    <sheet name="Data_BUP" sheetId="4" state="hidden" r:id="rId7"/>
  </sheets>
  <definedNames>
    <definedName name="_xlnm._FilterDatabase" localSheetId="1" hidden="1">DUK_GURU!$C$1:$C$69</definedName>
    <definedName name="_xlnm.Print_Area" localSheetId="0">DATA!$D$120:$G$125</definedName>
    <definedName name="_xlnm.Print_Area" localSheetId="6">Data_BUP!$A$181:$I$274</definedName>
    <definedName name="_xlnm.Print_Area" localSheetId="1">DUK_GURU!$A$1:$E$70</definedName>
    <definedName name="_xlnm.Print_Titles" localSheetId="0">DATA!$A$5:$IV$7</definedName>
    <definedName name="_xlnm.Print_Titles" localSheetId="1">DUK_GURU!$1:$6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58" i="12" s="1"/>
  <c r="A59" i="12" s="1"/>
  <c r="A91" i="12" s="1"/>
  <c r="D13" i="10" l="1"/>
  <c r="D8" i="10"/>
  <c r="D9" i="10" s="1"/>
  <c r="D14" i="10" l="1"/>
  <c r="H86" i="4"/>
  <c r="G86" i="4"/>
  <c r="F86" i="4"/>
  <c r="E86" i="4"/>
  <c r="D86" i="4"/>
  <c r="C86" i="4"/>
  <c r="B86" i="4"/>
  <c r="H85" i="4"/>
  <c r="G85" i="4"/>
  <c r="F85" i="4"/>
  <c r="E85" i="4"/>
  <c r="D85" i="4"/>
  <c r="C85" i="4"/>
  <c r="B85" i="4"/>
  <c r="H84" i="4"/>
  <c r="G84" i="4"/>
  <c r="F84" i="4"/>
  <c r="E84" i="4"/>
  <c r="D84" i="4"/>
  <c r="C84" i="4"/>
  <c r="B84" i="4"/>
  <c r="H83" i="4"/>
  <c r="G83" i="4"/>
  <c r="F83" i="4"/>
  <c r="E83" i="4"/>
  <c r="D83" i="4"/>
  <c r="C83" i="4"/>
  <c r="B83" i="4"/>
  <c r="H82" i="4"/>
  <c r="G82" i="4"/>
  <c r="F82" i="4"/>
  <c r="E82" i="4"/>
  <c r="D82" i="4"/>
  <c r="C82" i="4"/>
  <c r="B82" i="4"/>
  <c r="H81" i="4"/>
  <c r="G81" i="4"/>
  <c r="F81" i="4"/>
  <c r="E81" i="4"/>
  <c r="D81" i="4"/>
  <c r="C81" i="4"/>
  <c r="B81" i="4"/>
  <c r="H80" i="4"/>
  <c r="G80" i="4"/>
  <c r="F80" i="4"/>
  <c r="E80" i="4"/>
  <c r="D80" i="4"/>
  <c r="C80" i="4"/>
  <c r="B80" i="4"/>
  <c r="H79" i="4"/>
  <c r="G79" i="4"/>
  <c r="F79" i="4"/>
  <c r="E79" i="4"/>
  <c r="D79" i="4"/>
  <c r="C79" i="4"/>
  <c r="B79" i="4"/>
  <c r="H78" i="4"/>
  <c r="G78" i="4"/>
  <c r="F78" i="4"/>
  <c r="E78" i="4"/>
  <c r="D78" i="4"/>
  <c r="C78" i="4"/>
  <c r="B78" i="4"/>
  <c r="H77" i="4"/>
  <c r="G77" i="4"/>
  <c r="F77" i="4"/>
  <c r="E77" i="4"/>
  <c r="D77" i="4"/>
  <c r="C77" i="4"/>
  <c r="B77" i="4"/>
  <c r="H76" i="4"/>
  <c r="G76" i="4"/>
  <c r="F76" i="4"/>
  <c r="E76" i="4"/>
  <c r="D76" i="4"/>
  <c r="C76" i="4"/>
  <c r="B76" i="4"/>
  <c r="H65" i="4"/>
  <c r="G65" i="4"/>
  <c r="F65" i="4"/>
  <c r="E65" i="4"/>
  <c r="D65" i="4"/>
  <c r="C65" i="4"/>
  <c r="B65" i="4"/>
  <c r="H64" i="4"/>
  <c r="G64" i="4"/>
  <c r="F64" i="4"/>
  <c r="E64" i="4"/>
  <c r="D64" i="4"/>
  <c r="C64" i="4"/>
  <c r="B64" i="4"/>
  <c r="H63" i="4"/>
  <c r="G63" i="4"/>
  <c r="F63" i="4"/>
  <c r="E63" i="4"/>
  <c r="D63" i="4"/>
  <c r="C63" i="4"/>
  <c r="B63" i="4"/>
  <c r="H62" i="4"/>
  <c r="G62" i="4"/>
  <c r="F62" i="4"/>
  <c r="E62" i="4"/>
  <c r="D62" i="4"/>
  <c r="C62" i="4"/>
  <c r="B62" i="4"/>
  <c r="H61" i="4"/>
  <c r="G61" i="4"/>
  <c r="F61" i="4"/>
  <c r="E61" i="4"/>
  <c r="D61" i="4"/>
  <c r="C61" i="4"/>
  <c r="B61" i="4"/>
  <c r="H60" i="4"/>
  <c r="G60" i="4"/>
  <c r="F60" i="4"/>
  <c r="E60" i="4"/>
  <c r="D60" i="4"/>
  <c r="C60" i="4"/>
  <c r="B60" i="4"/>
  <c r="H59" i="4"/>
  <c r="G59" i="4"/>
  <c r="F59" i="4"/>
  <c r="E59" i="4"/>
  <c r="D59" i="4"/>
  <c r="C59" i="4"/>
  <c r="B59" i="4"/>
  <c r="H58" i="4"/>
  <c r="G58" i="4"/>
  <c r="F58" i="4"/>
  <c r="E58" i="4"/>
  <c r="D58" i="4"/>
  <c r="C58" i="4"/>
  <c r="B58" i="4"/>
  <c r="H57" i="4"/>
  <c r="G57" i="4"/>
  <c r="F57" i="4"/>
  <c r="E57" i="4"/>
  <c r="D57" i="4"/>
  <c r="C57" i="4"/>
  <c r="B57" i="4"/>
  <c r="H56" i="4"/>
  <c r="G56" i="4"/>
  <c r="F56" i="4"/>
  <c r="E56" i="4"/>
  <c r="D56" i="4"/>
  <c r="C56" i="4"/>
  <c r="B56" i="4"/>
  <c r="H55" i="4"/>
  <c r="G55" i="4"/>
  <c r="F55" i="4"/>
  <c r="E55" i="4"/>
  <c r="D55" i="4"/>
  <c r="C55" i="4"/>
  <c r="B55" i="4"/>
  <c r="H54" i="4"/>
  <c r="G54" i="4"/>
  <c r="F54" i="4"/>
  <c r="E54" i="4"/>
  <c r="D54" i="4"/>
  <c r="C54" i="4"/>
  <c r="B54" i="4"/>
  <c r="H53" i="4"/>
  <c r="G53" i="4"/>
  <c r="F53" i="4"/>
  <c r="E53" i="4"/>
  <c r="D53" i="4"/>
  <c r="C53" i="4"/>
  <c r="B53" i="4"/>
  <c r="H52" i="4"/>
  <c r="G52" i="4"/>
  <c r="F52" i="4"/>
  <c r="E52" i="4"/>
  <c r="D52" i="4"/>
  <c r="C52" i="4"/>
  <c r="B52" i="4"/>
  <c r="H51" i="4"/>
  <c r="G51" i="4"/>
  <c r="F51" i="4"/>
  <c r="E51" i="4"/>
  <c r="D51" i="4"/>
  <c r="C51" i="4"/>
  <c r="B51" i="4"/>
  <c r="H50" i="4"/>
  <c r="G50" i="4"/>
  <c r="F50" i="4"/>
  <c r="E50" i="4"/>
  <c r="D50" i="4"/>
  <c r="C50" i="4"/>
  <c r="B50" i="4"/>
  <c r="H49" i="4"/>
  <c r="G49" i="4"/>
  <c r="F49" i="4"/>
  <c r="E49" i="4"/>
  <c r="D49" i="4"/>
  <c r="C49" i="4"/>
  <c r="B49" i="4"/>
  <c r="H48" i="4"/>
  <c r="G48" i="4"/>
  <c r="F48" i="4"/>
  <c r="E48" i="4"/>
  <c r="D48" i="4"/>
  <c r="C48" i="4"/>
  <c r="B48" i="4"/>
  <c r="H47" i="4"/>
  <c r="G47" i="4"/>
  <c r="F47" i="4"/>
  <c r="E47" i="4"/>
  <c r="D47" i="4"/>
  <c r="C47" i="4"/>
  <c r="B47" i="4"/>
  <c r="H46" i="4"/>
  <c r="G46" i="4"/>
  <c r="F46" i="4"/>
  <c r="E46" i="4"/>
  <c r="D46" i="4"/>
  <c r="C46" i="4"/>
  <c r="B46" i="4"/>
  <c r="H45" i="4"/>
  <c r="G45" i="4"/>
  <c r="F45" i="4"/>
  <c r="E45" i="4"/>
  <c r="D45" i="4"/>
  <c r="C45" i="4"/>
  <c r="B45" i="4"/>
  <c r="H44" i="4"/>
  <c r="G44" i="4"/>
  <c r="F44" i="4"/>
  <c r="E44" i="4"/>
  <c r="D44" i="4"/>
  <c r="C44" i="4"/>
  <c r="B44" i="4"/>
  <c r="H43" i="4"/>
  <c r="G43" i="4"/>
  <c r="F43" i="4"/>
  <c r="E43" i="4"/>
  <c r="D43" i="4"/>
  <c r="C43" i="4"/>
  <c r="B43" i="4"/>
  <c r="H42" i="4"/>
  <c r="G42" i="4"/>
  <c r="F42" i="4"/>
  <c r="E42" i="4"/>
  <c r="D42" i="4"/>
  <c r="C42" i="4"/>
  <c r="B42" i="4"/>
  <c r="H41" i="4"/>
  <c r="G41" i="4"/>
  <c r="F41" i="4"/>
  <c r="E41" i="4"/>
  <c r="D41" i="4"/>
  <c r="C41" i="4"/>
  <c r="B41" i="4"/>
  <c r="H40" i="4"/>
  <c r="G40" i="4"/>
  <c r="F40" i="4"/>
  <c r="E40" i="4"/>
  <c r="D40" i="4"/>
  <c r="C40" i="4"/>
  <c r="B40" i="4"/>
  <c r="H39" i="4"/>
  <c r="G39" i="4"/>
  <c r="F39" i="4"/>
  <c r="E39" i="4"/>
  <c r="D39" i="4"/>
  <c r="C39" i="4"/>
  <c r="B39" i="4"/>
  <c r="H38" i="4"/>
  <c r="G38" i="4"/>
  <c r="F38" i="4"/>
  <c r="E38" i="4"/>
  <c r="D38" i="4"/>
  <c r="C38" i="4"/>
  <c r="B38" i="4"/>
  <c r="H37" i="4"/>
  <c r="G37" i="4"/>
  <c r="F37" i="4"/>
  <c r="E37" i="4"/>
  <c r="D37" i="4"/>
  <c r="C37" i="4"/>
  <c r="B37" i="4"/>
  <c r="H36" i="4"/>
  <c r="G36" i="4"/>
  <c r="F36" i="4"/>
  <c r="E36" i="4"/>
  <c r="D36" i="4"/>
  <c r="C36" i="4"/>
  <c r="B36" i="4"/>
  <c r="H35" i="4"/>
  <c r="G35" i="4"/>
  <c r="F35" i="4"/>
  <c r="E35" i="4"/>
  <c r="D35" i="4"/>
  <c r="C35" i="4"/>
  <c r="B35" i="4"/>
  <c r="H34" i="4"/>
  <c r="G34" i="4"/>
  <c r="F34" i="4"/>
  <c r="E34" i="4"/>
  <c r="D34" i="4"/>
  <c r="C34" i="4"/>
  <c r="B34" i="4"/>
  <c r="H33" i="4"/>
  <c r="G33" i="4"/>
  <c r="F33" i="4"/>
  <c r="E33" i="4"/>
  <c r="D33" i="4"/>
  <c r="C33" i="4"/>
  <c r="B33" i="4"/>
  <c r="H32" i="4"/>
  <c r="G32" i="4"/>
  <c r="F32" i="4"/>
  <c r="E32" i="4"/>
  <c r="D32" i="4"/>
  <c r="C32" i="4"/>
  <c r="B32" i="4"/>
  <c r="H31" i="4"/>
  <c r="G31" i="4"/>
  <c r="F31" i="4"/>
  <c r="E31" i="4"/>
  <c r="D31" i="4"/>
  <c r="C31" i="4"/>
  <c r="B31" i="4"/>
  <c r="H30" i="4"/>
  <c r="G30" i="4"/>
  <c r="F30" i="4"/>
  <c r="E30" i="4"/>
  <c r="D30" i="4"/>
  <c r="C30" i="4"/>
  <c r="B30" i="4"/>
  <c r="H29" i="4"/>
  <c r="G29" i="4"/>
  <c r="F29" i="4"/>
  <c r="E29" i="4"/>
  <c r="D29" i="4"/>
  <c r="C29" i="4"/>
  <c r="B29" i="4"/>
  <c r="H28" i="4"/>
  <c r="G28" i="4"/>
  <c r="F28" i="4"/>
  <c r="E28" i="4"/>
  <c r="D28" i="4"/>
  <c r="C28" i="4"/>
  <c r="B28" i="4"/>
  <c r="H27" i="4"/>
  <c r="G27" i="4"/>
  <c r="F27" i="4"/>
  <c r="E27" i="4"/>
  <c r="D27" i="4"/>
  <c r="C27" i="4"/>
  <c r="B27" i="4"/>
  <c r="H26" i="4"/>
  <c r="G26" i="4"/>
  <c r="F26" i="4"/>
  <c r="E26" i="4"/>
  <c r="D26" i="4"/>
  <c r="C26" i="4"/>
  <c r="B26" i="4"/>
  <c r="H25" i="4"/>
  <c r="G25" i="4"/>
  <c r="F25" i="4"/>
  <c r="E25" i="4"/>
  <c r="D25" i="4"/>
  <c r="C25" i="4"/>
  <c r="B25" i="4"/>
  <c r="H24" i="4"/>
  <c r="G24" i="4"/>
  <c r="F24" i="4"/>
  <c r="E24" i="4"/>
  <c r="D24" i="4"/>
  <c r="C24" i="4"/>
  <c r="B24" i="4"/>
  <c r="H23" i="4"/>
  <c r="G23" i="4"/>
  <c r="F23" i="4"/>
  <c r="E23" i="4"/>
  <c r="D23" i="4"/>
  <c r="C23" i="4"/>
  <c r="B23" i="4"/>
  <c r="H22" i="4"/>
  <c r="G22" i="4"/>
  <c r="F22" i="4"/>
  <c r="E22" i="4"/>
  <c r="D22" i="4"/>
  <c r="C22" i="4"/>
  <c r="B22" i="4"/>
  <c r="H21" i="4"/>
  <c r="G21" i="4"/>
  <c r="F21" i="4"/>
  <c r="E21" i="4"/>
  <c r="D21" i="4"/>
  <c r="C21" i="4"/>
  <c r="B21" i="4"/>
  <c r="H20" i="4"/>
  <c r="G20" i="4"/>
  <c r="F20" i="4"/>
  <c r="E20" i="4"/>
  <c r="D20" i="4"/>
  <c r="C20" i="4"/>
  <c r="B20" i="4"/>
  <c r="H19" i="4"/>
  <c r="G19" i="4"/>
  <c r="F19" i="4"/>
  <c r="E19" i="4"/>
  <c r="D19" i="4"/>
  <c r="C19" i="4"/>
  <c r="B19" i="4"/>
  <c r="H18" i="4"/>
  <c r="G18" i="4"/>
  <c r="F18" i="4"/>
  <c r="E18" i="4"/>
  <c r="D18" i="4"/>
  <c r="C18" i="4"/>
  <c r="B18" i="4"/>
  <c r="H17" i="4"/>
  <c r="G17" i="4"/>
  <c r="F17" i="4"/>
  <c r="E17" i="4"/>
  <c r="D17" i="4"/>
  <c r="C17" i="4"/>
  <c r="B17" i="4"/>
  <c r="H16" i="4"/>
  <c r="G16" i="4"/>
  <c r="F16" i="4"/>
  <c r="E16" i="4"/>
  <c r="D16" i="4"/>
  <c r="C16" i="4"/>
  <c r="B16" i="4"/>
  <c r="H15" i="4"/>
  <c r="G15" i="4"/>
  <c r="F15" i="4"/>
  <c r="E15" i="4"/>
  <c r="D15" i="4"/>
  <c r="C15" i="4"/>
  <c r="B15" i="4"/>
  <c r="H14" i="4"/>
  <c r="G14" i="4"/>
  <c r="F14" i="4"/>
  <c r="E14" i="4"/>
  <c r="D14" i="4"/>
  <c r="C14" i="4"/>
  <c r="B14" i="4"/>
  <c r="H13" i="4"/>
  <c r="G13" i="4"/>
  <c r="F13" i="4"/>
  <c r="E13" i="4"/>
  <c r="D13" i="4"/>
  <c r="C13" i="4"/>
  <c r="B13" i="4"/>
  <c r="H12" i="4"/>
  <c r="G12" i="4"/>
  <c r="F12" i="4"/>
  <c r="E12" i="4"/>
  <c r="D12" i="4"/>
  <c r="C12" i="4"/>
  <c r="B12" i="4"/>
  <c r="H11" i="4"/>
  <c r="G11" i="4"/>
  <c r="F11" i="4"/>
  <c r="E11" i="4"/>
  <c r="D11" i="4"/>
  <c r="C11" i="4"/>
  <c r="B11" i="4"/>
  <c r="H10" i="4"/>
  <c r="G10" i="4"/>
  <c r="F10" i="4"/>
  <c r="E10" i="4"/>
  <c r="D10" i="4"/>
  <c r="C10" i="4"/>
  <c r="B10" i="4"/>
  <c r="H9" i="4"/>
  <c r="G9" i="4"/>
  <c r="F9" i="4"/>
  <c r="E9" i="4"/>
  <c r="D9" i="4"/>
  <c r="C9" i="4"/>
  <c r="B9" i="4"/>
  <c r="H8" i="4"/>
  <c r="G8" i="4"/>
  <c r="F8" i="4"/>
  <c r="E8" i="4"/>
  <c r="D8" i="4"/>
  <c r="B8" i="4"/>
  <c r="E124" i="1"/>
  <c r="G124" i="1" s="1"/>
  <c r="E123" i="1"/>
  <c r="G123" i="1" s="1"/>
  <c r="F122" i="1"/>
  <c r="E122" i="1"/>
  <c r="F121" i="1"/>
  <c r="F117" i="1"/>
  <c r="E117" i="1"/>
  <c r="F116" i="1"/>
  <c r="E116" i="1"/>
  <c r="BX115" i="1"/>
  <c r="BX114" i="1"/>
  <c r="BE114" i="1"/>
  <c r="BX113" i="1"/>
  <c r="BE113" i="1"/>
  <c r="BX112" i="1"/>
  <c r="BE112" i="1"/>
  <c r="BX111" i="1"/>
  <c r="BE111" i="1"/>
  <c r="BX110" i="1"/>
  <c r="BE110" i="1"/>
  <c r="BX109" i="1"/>
  <c r="BE109" i="1"/>
  <c r="BX108" i="1"/>
  <c r="BE108" i="1"/>
  <c r="BX107" i="1"/>
  <c r="BE107" i="1"/>
  <c r="BX106" i="1"/>
  <c r="BE106" i="1"/>
  <c r="BX105" i="1"/>
  <c r="BE105" i="1"/>
  <c r="BX104" i="1"/>
  <c r="BE104" i="1"/>
  <c r="BX103" i="1"/>
  <c r="BE103" i="1"/>
  <c r="BX102" i="1"/>
  <c r="BE102" i="1"/>
  <c r="BX101" i="1"/>
  <c r="BE101" i="1"/>
  <c r="BX100" i="1"/>
  <c r="BE100" i="1"/>
  <c r="BX99" i="1"/>
  <c r="BE99" i="1"/>
  <c r="BX98" i="1"/>
  <c r="BE98" i="1"/>
  <c r="BX97" i="1"/>
  <c r="BE97" i="1"/>
  <c r="BX96" i="1"/>
  <c r="BE96" i="1"/>
  <c r="BX95" i="1"/>
  <c r="BV95" i="1"/>
  <c r="BE95" i="1"/>
  <c r="BX94" i="1"/>
  <c r="BV94" i="1"/>
  <c r="BE94" i="1"/>
  <c r="BX93" i="1"/>
  <c r="BV93" i="1"/>
  <c r="BE93" i="1"/>
  <c r="BX92" i="1"/>
  <c r="BV92" i="1"/>
  <c r="BE92" i="1"/>
  <c r="BX91" i="1"/>
  <c r="BV91" i="1"/>
  <c r="BE91" i="1"/>
  <c r="BX90" i="1"/>
  <c r="BV90" i="1"/>
  <c r="BE90" i="1"/>
  <c r="BX89" i="1"/>
  <c r="BV89" i="1"/>
  <c r="BE89" i="1"/>
  <c r="BX88" i="1"/>
  <c r="BV88" i="1"/>
  <c r="BE88" i="1"/>
  <c r="BX87" i="1"/>
  <c r="BV87" i="1"/>
  <c r="BE87" i="1"/>
  <c r="BX86" i="1"/>
  <c r="BV86" i="1"/>
  <c r="BE86" i="1"/>
  <c r="BX85" i="1"/>
  <c r="BV85" i="1"/>
  <c r="BE85" i="1"/>
  <c r="BE84" i="1"/>
  <c r="BX82" i="1"/>
  <c r="BX81" i="1"/>
  <c r="BX80" i="1"/>
  <c r="BE80" i="1"/>
  <c r="BX79" i="1"/>
  <c r="BE79" i="1"/>
  <c r="BX78" i="1"/>
  <c r="BE78" i="1"/>
  <c r="BX77" i="1"/>
  <c r="BE77" i="1"/>
  <c r="BX76" i="1"/>
  <c r="BE76" i="1"/>
  <c r="BX75" i="1"/>
  <c r="BE75" i="1"/>
  <c r="BX74" i="1"/>
  <c r="BE74" i="1"/>
  <c r="BX73" i="1"/>
  <c r="BE73" i="1"/>
  <c r="BX72" i="1"/>
  <c r="BE72" i="1"/>
  <c r="BX71" i="1"/>
  <c r="BE71" i="1"/>
  <c r="BX70" i="1"/>
  <c r="BE70" i="1"/>
  <c r="BX69" i="1"/>
  <c r="BE69" i="1"/>
  <c r="BX68" i="1"/>
  <c r="BE68" i="1"/>
  <c r="BX67" i="1"/>
  <c r="BE67" i="1"/>
  <c r="BX66" i="1"/>
  <c r="BV66" i="1"/>
  <c r="BE66" i="1"/>
  <c r="AD66" i="1"/>
  <c r="AF66" i="1" s="1"/>
  <c r="AC66" i="1"/>
  <c r="BX65" i="1"/>
  <c r="BV65" i="1"/>
  <c r="BE65" i="1"/>
  <c r="AD65" i="1"/>
  <c r="AF65" i="1" s="1"/>
  <c r="AC65" i="1"/>
  <c r="BX64" i="1"/>
  <c r="BV64" i="1"/>
  <c r="BE64" i="1"/>
  <c r="AD64" i="1"/>
  <c r="AF64" i="1" s="1"/>
  <c r="AC64" i="1"/>
  <c r="BX63" i="1"/>
  <c r="BV63" i="1"/>
  <c r="BE63" i="1"/>
  <c r="AD63" i="1"/>
  <c r="AF63" i="1" s="1"/>
  <c r="AC63" i="1"/>
  <c r="BX62" i="1"/>
  <c r="BV62" i="1"/>
  <c r="BE62" i="1"/>
  <c r="AD62" i="1"/>
  <c r="AF62" i="1" s="1"/>
  <c r="AC62" i="1"/>
  <c r="BX61" i="1"/>
  <c r="BV61" i="1"/>
  <c r="BE61" i="1"/>
  <c r="AD61" i="1"/>
  <c r="AF61" i="1" s="1"/>
  <c r="AC61" i="1"/>
  <c r="BV60" i="1"/>
  <c r="BE60" i="1"/>
  <c r="BX59" i="1"/>
  <c r="BV59" i="1"/>
  <c r="BE59" i="1"/>
  <c r="AD59" i="1"/>
  <c r="AF59" i="1" s="1"/>
  <c r="AC59" i="1"/>
  <c r="BX58" i="1"/>
  <c r="BV58" i="1"/>
  <c r="BE58" i="1"/>
  <c r="AD58" i="1"/>
  <c r="AF58" i="1" s="1"/>
  <c r="AC58" i="1"/>
  <c r="BX57" i="1"/>
  <c r="BV57" i="1"/>
  <c r="BE57" i="1"/>
  <c r="AD57" i="1"/>
  <c r="AF57" i="1" s="1"/>
  <c r="AC57" i="1"/>
  <c r="BX56" i="1"/>
  <c r="BV56" i="1"/>
  <c r="BE56" i="1"/>
  <c r="AD56" i="1"/>
  <c r="AF56" i="1" s="1"/>
  <c r="AC56" i="1"/>
  <c r="BX55" i="1"/>
  <c r="BV55" i="1"/>
  <c r="BE55" i="1"/>
  <c r="AD55" i="1"/>
  <c r="AF55" i="1" s="1"/>
  <c r="AC55" i="1"/>
  <c r="BX54" i="1"/>
  <c r="BV54" i="1"/>
  <c r="BE54" i="1"/>
  <c r="AD54" i="1"/>
  <c r="AF54" i="1" s="1"/>
  <c r="AC54" i="1"/>
  <c r="BX53" i="1"/>
  <c r="BV53" i="1"/>
  <c r="BE53" i="1"/>
  <c r="AD53" i="1"/>
  <c r="AF53" i="1" s="1"/>
  <c r="AC53" i="1"/>
  <c r="BX52" i="1"/>
  <c r="BV52" i="1"/>
  <c r="BE52" i="1"/>
  <c r="AD52" i="1"/>
  <c r="AF52" i="1" s="1"/>
  <c r="AC52" i="1"/>
  <c r="BX51" i="1"/>
  <c r="BV51" i="1"/>
  <c r="BE51" i="1"/>
  <c r="AD51" i="1"/>
  <c r="AF51" i="1" s="1"/>
  <c r="AC51" i="1"/>
  <c r="BX50" i="1"/>
  <c r="BV50" i="1"/>
  <c r="BE50" i="1"/>
  <c r="AD50" i="1"/>
  <c r="AF50" i="1" s="1"/>
  <c r="AC50" i="1"/>
  <c r="BX49" i="1"/>
  <c r="BV49" i="1"/>
  <c r="BE49" i="1"/>
  <c r="AD49" i="1"/>
  <c r="AF49" i="1" s="1"/>
  <c r="AC49" i="1"/>
  <c r="BX48" i="1"/>
  <c r="BV48" i="1"/>
  <c r="BE48" i="1"/>
  <c r="AD48" i="1"/>
  <c r="AF48" i="1" s="1"/>
  <c r="AC48" i="1"/>
  <c r="BX47" i="1"/>
  <c r="BV47" i="1"/>
  <c r="BE47" i="1"/>
  <c r="AD47" i="1"/>
  <c r="AF47" i="1" s="1"/>
  <c r="AC47" i="1"/>
  <c r="BX46" i="1"/>
  <c r="BV46" i="1"/>
  <c r="BE46" i="1"/>
  <c r="AD46" i="1"/>
  <c r="AF46" i="1" s="1"/>
  <c r="AC46" i="1"/>
  <c r="BX45" i="1"/>
  <c r="BV45" i="1"/>
  <c r="BE45" i="1"/>
  <c r="BX44" i="1"/>
  <c r="BV44" i="1"/>
  <c r="BE44" i="1"/>
  <c r="AD44" i="1"/>
  <c r="AF44" i="1" s="1"/>
  <c r="AC44" i="1"/>
  <c r="BX43" i="1"/>
  <c r="BV43" i="1"/>
  <c r="BE43" i="1"/>
  <c r="AD43" i="1"/>
  <c r="AF43" i="1" s="1"/>
  <c r="AC43" i="1"/>
  <c r="BX42" i="1"/>
  <c r="BV42" i="1"/>
  <c r="BE42" i="1"/>
  <c r="AD42" i="1"/>
  <c r="AF42" i="1" s="1"/>
  <c r="AC42" i="1"/>
  <c r="BX41" i="1"/>
  <c r="BV41" i="1"/>
  <c r="BE41" i="1"/>
  <c r="AD41" i="1"/>
  <c r="AF41" i="1" s="1"/>
  <c r="AC41" i="1"/>
  <c r="BX40" i="1"/>
  <c r="BV40" i="1"/>
  <c r="BE40" i="1"/>
  <c r="AD40" i="1"/>
  <c r="AF40" i="1" s="1"/>
  <c r="AC40" i="1"/>
  <c r="BX39" i="1"/>
  <c r="BV39" i="1"/>
  <c r="BE39" i="1"/>
  <c r="AD39" i="1"/>
  <c r="AF39" i="1" s="1"/>
  <c r="AC39" i="1"/>
  <c r="BX38" i="1"/>
  <c r="BV38" i="1"/>
  <c r="BE38" i="1"/>
  <c r="AD38" i="1"/>
  <c r="AF38" i="1" s="1"/>
  <c r="AC38" i="1"/>
  <c r="BX37" i="1"/>
  <c r="BV37" i="1"/>
  <c r="BE37" i="1"/>
  <c r="AD37" i="1"/>
  <c r="AF37" i="1" s="1"/>
  <c r="AC37" i="1"/>
  <c r="BX36" i="1"/>
  <c r="BV36" i="1"/>
  <c r="BE36" i="1"/>
  <c r="AD36" i="1"/>
  <c r="AF36" i="1" s="1"/>
  <c r="AC36" i="1"/>
  <c r="BX35" i="1"/>
  <c r="BV35" i="1"/>
  <c r="BE35" i="1"/>
  <c r="AD35" i="1"/>
  <c r="AF35" i="1" s="1"/>
  <c r="AC35" i="1"/>
  <c r="BX34" i="1"/>
  <c r="BV34" i="1"/>
  <c r="BE34" i="1"/>
  <c r="AD34" i="1"/>
  <c r="AF34" i="1" s="1"/>
  <c r="AC34" i="1"/>
  <c r="BX33" i="1"/>
  <c r="BV33" i="1"/>
  <c r="BE33" i="1"/>
  <c r="AD33" i="1"/>
  <c r="AF33" i="1" s="1"/>
  <c r="AC33" i="1"/>
  <c r="BX32" i="1"/>
  <c r="BV32" i="1"/>
  <c r="BE32" i="1"/>
  <c r="AD32" i="1"/>
  <c r="AF32" i="1" s="1"/>
  <c r="AC32" i="1"/>
  <c r="BX31" i="1"/>
  <c r="BV31" i="1"/>
  <c r="BE31" i="1"/>
  <c r="AD31" i="1"/>
  <c r="AF31" i="1" s="1"/>
  <c r="AC31" i="1"/>
  <c r="BX30" i="1"/>
  <c r="BV30" i="1"/>
  <c r="BE30" i="1"/>
  <c r="AD30" i="1"/>
  <c r="AF30" i="1" s="1"/>
  <c r="AC30" i="1"/>
  <c r="BX29" i="1"/>
  <c r="BV29" i="1"/>
  <c r="BE29" i="1"/>
  <c r="AD29" i="1"/>
  <c r="AF29" i="1" s="1"/>
  <c r="AC29" i="1"/>
  <c r="BX28" i="1"/>
  <c r="BV28" i="1"/>
  <c r="BE28" i="1"/>
  <c r="AD28" i="1"/>
  <c r="AF28" i="1" s="1"/>
  <c r="AC28" i="1"/>
  <c r="BX27" i="1"/>
  <c r="BV27" i="1"/>
  <c r="BE27" i="1"/>
  <c r="AD27" i="1"/>
  <c r="AF27" i="1" s="1"/>
  <c r="AC27" i="1"/>
  <c r="BX26" i="1"/>
  <c r="BV26" i="1"/>
  <c r="BE26" i="1"/>
  <c r="AD26" i="1"/>
  <c r="AF26" i="1" s="1"/>
  <c r="AC26" i="1"/>
  <c r="BX25" i="1"/>
  <c r="BV25" i="1"/>
  <c r="BE25" i="1"/>
  <c r="AD25" i="1"/>
  <c r="AF25" i="1" s="1"/>
  <c r="AC25" i="1"/>
  <c r="BX24" i="1"/>
  <c r="BV24" i="1"/>
  <c r="BE24" i="1"/>
  <c r="AD24" i="1"/>
  <c r="AF24" i="1" s="1"/>
  <c r="AC24" i="1"/>
  <c r="BX23" i="1"/>
  <c r="BV23" i="1"/>
  <c r="BE23" i="1"/>
  <c r="AD23" i="1"/>
  <c r="AF23" i="1" s="1"/>
  <c r="AC23" i="1"/>
  <c r="BX22" i="1"/>
  <c r="BV22" i="1"/>
  <c r="BE22" i="1"/>
  <c r="AD22" i="1"/>
  <c r="AF22" i="1" s="1"/>
  <c r="AC22" i="1"/>
  <c r="BX21" i="1"/>
  <c r="BV21" i="1"/>
  <c r="BE21" i="1"/>
  <c r="AD21" i="1"/>
  <c r="AF21" i="1" s="1"/>
  <c r="AC21" i="1"/>
  <c r="BX20" i="1"/>
  <c r="BV20" i="1"/>
  <c r="BE20" i="1"/>
  <c r="AD20" i="1"/>
  <c r="AF20" i="1" s="1"/>
  <c r="AC20" i="1"/>
  <c r="BX19" i="1"/>
  <c r="BV19" i="1"/>
  <c r="BE19" i="1"/>
  <c r="AD19" i="1"/>
  <c r="AF19" i="1" s="1"/>
  <c r="AC19" i="1"/>
  <c r="BX18" i="1"/>
  <c r="BV18" i="1"/>
  <c r="BE18" i="1"/>
  <c r="AD18" i="1"/>
  <c r="AF18" i="1" s="1"/>
  <c r="AC18" i="1"/>
  <c r="BX17" i="1"/>
  <c r="BV17" i="1"/>
  <c r="BE17" i="1"/>
  <c r="AD17" i="1"/>
  <c r="AF17" i="1" s="1"/>
  <c r="AC17" i="1"/>
  <c r="BX16" i="1"/>
  <c r="BV16" i="1"/>
  <c r="BE16" i="1"/>
  <c r="AD16" i="1"/>
  <c r="AF16" i="1" s="1"/>
  <c r="AC16" i="1"/>
  <c r="BX15" i="1"/>
  <c r="BV15" i="1"/>
  <c r="BE15" i="1"/>
  <c r="AD15" i="1"/>
  <c r="AF15" i="1" s="1"/>
  <c r="AC15" i="1"/>
  <c r="BX14" i="1"/>
  <c r="BV14" i="1"/>
  <c r="BE14" i="1"/>
  <c r="AD14" i="1"/>
  <c r="AF14" i="1" s="1"/>
  <c r="AC14" i="1"/>
  <c r="BX13" i="1"/>
  <c r="BV13" i="1"/>
  <c r="BE13" i="1"/>
  <c r="AD13" i="1"/>
  <c r="AF13" i="1" s="1"/>
  <c r="AC13" i="1"/>
  <c r="BX12" i="1"/>
  <c r="BV12" i="1"/>
  <c r="BE12" i="1"/>
  <c r="AD12" i="1"/>
  <c r="AF12" i="1" s="1"/>
  <c r="AC12" i="1"/>
  <c r="BX11" i="1"/>
  <c r="BV11" i="1"/>
  <c r="BE11" i="1"/>
  <c r="AD11" i="1"/>
  <c r="AF11" i="1" s="1"/>
  <c r="AC11" i="1"/>
  <c r="BX10" i="1"/>
  <c r="BV10" i="1"/>
  <c r="BE10" i="1"/>
  <c r="AD10" i="1"/>
  <c r="AF10" i="1" s="1"/>
  <c r="AC10" i="1"/>
  <c r="BX9" i="1"/>
  <c r="BV9" i="1"/>
  <c r="BE9" i="1"/>
  <c r="AD9" i="1"/>
  <c r="AF9" i="1" s="1"/>
  <c r="AC9" i="1"/>
  <c r="F125" i="1" l="1"/>
  <c r="F118" i="1"/>
  <c r="G122" i="1"/>
  <c r="E118" i="1"/>
  <c r="G121" i="1"/>
  <c r="E125" i="1"/>
  <c r="G125" i="1" l="1"/>
</calcChain>
</file>

<file path=xl/sharedStrings.xml><?xml version="1.0" encoding="utf-8"?>
<sst xmlns="http://schemas.openxmlformats.org/spreadsheetml/2006/main" count="5894" uniqueCount="2177">
  <si>
    <t>DATA PENDIDIK DAN TENAGA KEPENDIDIKAN</t>
  </si>
  <si>
    <t xml:space="preserve"> SMA NEGERI I BATU </t>
  </si>
  <si>
    <t>TAHUN  2022</t>
  </si>
  <si>
    <t>NO</t>
  </si>
  <si>
    <t>N A M A</t>
  </si>
  <si>
    <t>TEMPAT, TANGGAL LAHIR</t>
  </si>
  <si>
    <t>JENIS KEL.</t>
  </si>
  <si>
    <t>NIP TANPA SPASI</t>
  </si>
  <si>
    <t>NIP</t>
  </si>
  <si>
    <t>STATUS KEPEG.</t>
  </si>
  <si>
    <t>PANGKAT</t>
  </si>
  <si>
    <t>TMT CPNS/ PENGANGKA TAN I</t>
  </si>
  <si>
    <t>MASA KERJA</t>
  </si>
  <si>
    <t>JENJANG PEND.</t>
  </si>
  <si>
    <t>JURUSAN</t>
  </si>
  <si>
    <t>TAHUN LULUS</t>
  </si>
  <si>
    <t>CATATAN</t>
  </si>
  <si>
    <t>KELAS JABATAN / MAPEL YANG DIAMPU</t>
  </si>
  <si>
    <t>NUPTK</t>
  </si>
  <si>
    <t>MASA PENSIUN</t>
  </si>
  <si>
    <t>No Peserta Sertifikasi Pendidik</t>
  </si>
  <si>
    <t>Tanggal Sertifikasi Pendidik</t>
  </si>
  <si>
    <t>NRG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</si>
  <si>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</si>
  <si>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</si>
  <si>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</si>
  <si>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</si>
  <si>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</si>
  <si>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</si>
  <si>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</si>
  <si>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</si>
  <si>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Nomor          HP</t>
  </si>
  <si>
    <t>Email</t>
  </si>
  <si>
    <t>NO. SK CPNS</t>
  </si>
  <si>
    <t>Tanggal CPNS</t>
  </si>
  <si>
    <t>TMT CPNS</t>
  </si>
  <si>
    <t>SK PNS</t>
  </si>
  <si>
    <t>TANGGAL PNS</t>
  </si>
  <si>
    <t>TMT PNS</t>
  </si>
  <si>
    <t>Lembaga Pengangkatan</t>
  </si>
  <si>
    <t>NO. SK TERAKHIR</t>
  </si>
  <si>
    <t>Tanggal SK TERAKHIR</t>
  </si>
  <si>
    <t>TMT SK TERAKHIR</t>
  </si>
  <si>
    <t>Golongan</t>
  </si>
  <si>
    <t>No. SK Jab. Fungsional</t>
  </si>
  <si>
    <t>Tgl. SK Jab. Fungsional</t>
  </si>
  <si>
    <t>Nama Ibu Kandung</t>
  </si>
  <si>
    <t>Status Perkawinan</t>
  </si>
  <si>
    <t>Nama Suami/Istri</t>
  </si>
  <si>
    <t>NIP Suami/Istri</t>
  </si>
  <si>
    <t>Pekerjaan Suami/Istri</t>
  </si>
  <si>
    <t>Sudah Lisensi Kepala Sekolah</t>
  </si>
  <si>
    <t>NPWP</t>
  </si>
  <si>
    <t>Nomor Rekening Bank Jatim</t>
  </si>
  <si>
    <t>Nomor KTP</t>
  </si>
  <si>
    <t>Nomor HP</t>
  </si>
  <si>
    <t>Tanda Penghargaan Satya Lencana (terakhir)</t>
  </si>
  <si>
    <t>PANG/GOL</t>
  </si>
  <si>
    <t>GOL</t>
  </si>
  <si>
    <t>TMT GOL.</t>
  </si>
  <si>
    <t>CPNS</t>
  </si>
  <si>
    <t>GOLONGAN</t>
  </si>
  <si>
    <t>SELURUHNYA</t>
  </si>
  <si>
    <t>MUTASI</t>
  </si>
  <si>
    <t>K E T</t>
  </si>
  <si>
    <t>LAHIR</t>
  </si>
  <si>
    <t>BLN</t>
  </si>
  <si>
    <t>THN</t>
  </si>
  <si>
    <t>TAHUN 2021/2022</t>
  </si>
  <si>
    <t>L</t>
  </si>
  <si>
    <t>P</t>
  </si>
  <si>
    <t>bln</t>
  </si>
  <si>
    <t>thn</t>
  </si>
  <si>
    <t>Nomor</t>
  </si>
  <si>
    <t>Tanggal</t>
  </si>
  <si>
    <t>Yang ke</t>
  </si>
  <si>
    <t>Maker Gol</t>
  </si>
  <si>
    <t>Maker Kesel</t>
  </si>
  <si>
    <t>Sertifikat Pendidik</t>
  </si>
  <si>
    <t>Edy Parlindungan.S.Pd,M.M</t>
  </si>
  <si>
    <t>Maga, 26 Maret 1963</t>
  </si>
  <si>
    <t xml:space="preserve"> 19630326 1989031007</t>
  </si>
  <si>
    <t>PNS</t>
  </si>
  <si>
    <t>Pembina Tingkat I</t>
  </si>
  <si>
    <t>IV/b</t>
  </si>
  <si>
    <t>S2</t>
  </si>
  <si>
    <t>PENDIDIKAN IPS</t>
  </si>
  <si>
    <t xml:space="preserve"> 4658741642200020</t>
  </si>
  <si>
    <t>Islam</t>
  </si>
  <si>
    <t>Jl. K.H. Wahid Hasyim</t>
  </si>
  <si>
    <t>Gading</t>
  </si>
  <si>
    <t>Bululawang</t>
  </si>
  <si>
    <t xml:space="preserve"> 08125212894</t>
  </si>
  <si>
    <t>Ismi Yunaeni, S.Pd, M.Pd</t>
  </si>
  <si>
    <t>Jember,02-06-1961</t>
  </si>
  <si>
    <t>196106021985122002</t>
  </si>
  <si>
    <t>19610602 198512 2 002</t>
  </si>
  <si>
    <t>Pembina Tk. I, IV/b</t>
  </si>
  <si>
    <t>01/04/2011</t>
  </si>
  <si>
    <t>01/12/1985</t>
  </si>
  <si>
    <t>MKG III/a - 1 thn</t>
  </si>
  <si>
    <t>Biologi</t>
  </si>
  <si>
    <t>1934739655300002</t>
  </si>
  <si>
    <t>01/07/2021</t>
  </si>
  <si>
    <t>08056819010176</t>
  </si>
  <si>
    <t>09/12/2008</t>
  </si>
  <si>
    <t>083429053009</t>
  </si>
  <si>
    <t>Jl. Dewi Sartika III No. 40 Temas Batu</t>
  </si>
  <si>
    <t>Temas</t>
  </si>
  <si>
    <t>TEMAS</t>
  </si>
  <si>
    <t>Kec. Batu</t>
  </si>
  <si>
    <t>085233466914</t>
  </si>
  <si>
    <t>ismiyunaeni61@gmail.com</t>
  </si>
  <si>
    <t>2242/104.3/c9.86/sk</t>
  </si>
  <si>
    <t>20 Februari 1986</t>
  </si>
  <si>
    <t>15875.118/I04/c/1987/SK</t>
  </si>
  <si>
    <t>30 Nopember 1987</t>
  </si>
  <si>
    <t>01/12/1987</t>
  </si>
  <si>
    <t>Pemerintah Propinsi</t>
  </si>
  <si>
    <t>823.4/493/212/2011</t>
  </si>
  <si>
    <t>17 Februari 2011</t>
  </si>
  <si>
    <t>Pemerintah Kota Batu</t>
  </si>
  <si>
    <t>821.2/2379/204/2018</t>
  </si>
  <si>
    <t>23 Oktober 2018</t>
  </si>
  <si>
    <t>-</t>
  </si>
  <si>
    <t>Kawin</t>
  </si>
  <si>
    <t>R. Muhammad Zakaria</t>
  </si>
  <si>
    <t>195904071985031016</t>
  </si>
  <si>
    <t>PNS/TNI/Polri</t>
  </si>
  <si>
    <t>Tidak</t>
  </si>
  <si>
    <t>486360837628000</t>
  </si>
  <si>
    <t>0402142782</t>
  </si>
  <si>
    <t>3579014206610002</t>
  </si>
  <si>
    <t>Lilik Ismiati, M.Pd</t>
  </si>
  <si>
    <t>Malang, 26-07-1963</t>
  </si>
  <si>
    <t>196307261987032007</t>
  </si>
  <si>
    <t>19630726 198703 2 007</t>
  </si>
  <si>
    <t>01/04/2014</t>
  </si>
  <si>
    <t>01/03/1987</t>
  </si>
  <si>
    <t>7058741643300043</t>
  </si>
  <si>
    <t>01/08/2023</t>
  </si>
  <si>
    <t>09056819010168</t>
  </si>
  <si>
    <t>27/07/2009</t>
  </si>
  <si>
    <t>092538382009</t>
  </si>
  <si>
    <t>Jl. Darsono Barat 19 Ngaglik Batu</t>
  </si>
  <si>
    <t>Ngaglik</t>
  </si>
  <si>
    <t>081931853666</t>
  </si>
  <si>
    <t>ismi_lilik@yahoo.com</t>
  </si>
  <si>
    <t>4935/I04/C/1987/SK</t>
  </si>
  <si>
    <t>21 Mei 1987</t>
  </si>
  <si>
    <t>24022/I04/C/88/SK</t>
  </si>
  <si>
    <t>17 Nopember 1988</t>
  </si>
  <si>
    <t>01/12/1988</t>
  </si>
  <si>
    <t>Pemerintah Pusat</t>
  </si>
  <si>
    <t>823.4/216/212/2014</t>
  </si>
  <si>
    <t>12 Februari 2014</t>
  </si>
  <si>
    <t>Nafiah</t>
  </si>
  <si>
    <t>Sutrisno</t>
  </si>
  <si>
    <t>486370042628000</t>
  </si>
  <si>
    <t>0402115041</t>
  </si>
  <si>
    <t>3579016607630001</t>
  </si>
  <si>
    <t>081335896486</t>
  </si>
  <si>
    <t>Dra. Nurhidayati, Sh, M.Pd.</t>
  </si>
  <si>
    <t>Tulung Agung,18-9-1965</t>
  </si>
  <si>
    <t>196509181988032007</t>
  </si>
  <si>
    <t>19650918 198803 2 007</t>
  </si>
  <si>
    <t>01/10/2013</t>
  </si>
  <si>
    <t>01/03/1988</t>
  </si>
  <si>
    <t>Sejarah</t>
  </si>
  <si>
    <t>3650743645300012</t>
  </si>
  <si>
    <t>01/10/2025</t>
  </si>
  <si>
    <t>08056820410183</t>
  </si>
  <si>
    <t>085026067006</t>
  </si>
  <si>
    <t>Jalan Cempaka No 35 RT. 03 / RW 05 Pesanggrahan Batu</t>
  </si>
  <si>
    <t>Pesanggrahan</t>
  </si>
  <si>
    <t>081131935878</t>
  </si>
  <si>
    <t>nurhidayatiedi@yahoo.com</t>
  </si>
  <si>
    <t>6842/104/c/1988/sk</t>
  </si>
  <si>
    <t>15 Juni 1988</t>
  </si>
  <si>
    <t>5421/I04/C/89/SK</t>
  </si>
  <si>
    <t>25 Maret 1989</t>
  </si>
  <si>
    <t>01/04/1989</t>
  </si>
  <si>
    <t>823.4/1905/212/2013</t>
  </si>
  <si>
    <t>26 Agustus 2013</t>
  </si>
  <si>
    <t>Dr. H. Edi Suhartono</t>
  </si>
  <si>
    <t>196110405198601100</t>
  </si>
  <si>
    <t>570732065628000</t>
  </si>
  <si>
    <t>0402142669</t>
  </si>
  <si>
    <t>3579015809650002</t>
  </si>
  <si>
    <t>08125992987</t>
  </si>
  <si>
    <t>Drs. Sugiardi, M.M.</t>
  </si>
  <si>
    <t>Malang,24-06-1964</t>
  </si>
  <si>
    <t>196406241995121002</t>
  </si>
  <si>
    <t>19640624 199512 1 002</t>
  </si>
  <si>
    <t>01/04/2019</t>
  </si>
  <si>
    <t>01/12/1995</t>
  </si>
  <si>
    <t>Fisika</t>
  </si>
  <si>
    <t>8956742644200022</t>
  </si>
  <si>
    <t>01/07/2024</t>
  </si>
  <si>
    <t>09056818410191</t>
  </si>
  <si>
    <t>092437887007</t>
  </si>
  <si>
    <t>Ir. Sukarno 149 Kel. Dadaprejo RT. 004 / RW. 008 Junrejo Batu</t>
  </si>
  <si>
    <t>Dadap Rejo</t>
  </si>
  <si>
    <t>Kec. Junrejo</t>
  </si>
  <si>
    <t>081333131509</t>
  </si>
  <si>
    <t>ardyerlina9@gmail.com</t>
  </si>
  <si>
    <t>79500/A2/KP/1995</t>
  </si>
  <si>
    <t>1 Desember 1995</t>
  </si>
  <si>
    <t>74090/I04.3/KP/1997</t>
  </si>
  <si>
    <t>31 Juni 1997</t>
  </si>
  <si>
    <t>01/07/1997</t>
  </si>
  <si>
    <t>823.4/935/204/2019</t>
  </si>
  <si>
    <t>27 Februari 2019</t>
  </si>
  <si>
    <t>Gubernur Jawa Timur</t>
  </si>
  <si>
    <t>821.2/2380/204/2018</t>
  </si>
  <si>
    <t>24 Oktober 2018</t>
  </si>
  <si>
    <t>Kariumi</t>
  </si>
  <si>
    <t>Yayuk Yales Priyati</t>
  </si>
  <si>
    <t>474677341628000</t>
  </si>
  <si>
    <t>0402104309</t>
  </si>
  <si>
    <t>3579032406640002</t>
  </si>
  <si>
    <t>Sri Wati, S.Pd, M.M.</t>
  </si>
  <si>
    <t>Malang,19-04-1964</t>
  </si>
  <si>
    <t>196404191984122005</t>
  </si>
  <si>
    <t>19640419 198412 2 005</t>
  </si>
  <si>
    <t>Pembina, IV/a</t>
  </si>
  <si>
    <t>IV/a</t>
  </si>
  <si>
    <t>01/10/2005</t>
  </si>
  <si>
    <t>01/12/1984</t>
  </si>
  <si>
    <t>Matematika</t>
  </si>
  <si>
    <t>3748742642300012</t>
  </si>
  <si>
    <t>01/05/2024</t>
  </si>
  <si>
    <t>08056818010173</t>
  </si>
  <si>
    <t>084827056010</t>
  </si>
  <si>
    <t>Jl. Imam Bonjol IV/14 RT. 01 / RW. 01 Sisir Batu</t>
  </si>
  <si>
    <t>Sisir</t>
  </si>
  <si>
    <t>081805145245</t>
  </si>
  <si>
    <t>sriwatibatu1964@gmail.com</t>
  </si>
  <si>
    <t>2769/104.3.1/c9.85/sk</t>
  </si>
  <si>
    <t>19 Februari 1985</t>
  </si>
  <si>
    <t>19278/104/C/86/SK</t>
  </si>
  <si>
    <t>31 Oktober 1986</t>
  </si>
  <si>
    <t>01/11/1986</t>
  </si>
  <si>
    <t>823.4/1149/042/2005</t>
  </si>
  <si>
    <t>1 September 2005</t>
  </si>
  <si>
    <t>821.2/2396/204/2018</t>
  </si>
  <si>
    <t>Sudarni</t>
  </si>
  <si>
    <t>Abu Sufyan</t>
  </si>
  <si>
    <t>570732107628000</t>
  </si>
  <si>
    <t>0402023899</t>
  </si>
  <si>
    <t>3579015900464000</t>
  </si>
  <si>
    <t>Amantho, S.Pd</t>
  </si>
  <si>
    <t>Banyuwangi, 15-03-1962</t>
  </si>
  <si>
    <t>196203151985111002</t>
  </si>
  <si>
    <t>19620315 198511 1 002</t>
  </si>
  <si>
    <t>01/04/2005</t>
  </si>
  <si>
    <t>01/11/1985</t>
  </si>
  <si>
    <t>S1</t>
  </si>
  <si>
    <t>Geografi</t>
  </si>
  <si>
    <t>1835740641200003</t>
  </si>
  <si>
    <t>01/04/2022</t>
  </si>
  <si>
    <t>09056820710167</t>
  </si>
  <si>
    <t>091986377013</t>
  </si>
  <si>
    <t>Jl. Wurian No. 5 RT. 18 / RW. 04 Girimoyo Karangploso Malang</t>
  </si>
  <si>
    <t>Ngambon</t>
  </si>
  <si>
    <t>Girimoyo</t>
  </si>
  <si>
    <t>Kec. Karangploso</t>
  </si>
  <si>
    <t>081555786633</t>
  </si>
  <si>
    <t>amantho@gmail.com</t>
  </si>
  <si>
    <t>3865/A2.IV.I/C/1986</t>
  </si>
  <si>
    <t>11 Januari 1986</t>
  </si>
  <si>
    <t>2000/KEP/C-1/1988</t>
  </si>
  <si>
    <t>31 Agustus 1988</t>
  </si>
  <si>
    <t>01/09/1988</t>
  </si>
  <si>
    <t>823.4/345/042/2005</t>
  </si>
  <si>
    <t>7 Februari 2005</t>
  </si>
  <si>
    <t xml:space="preserve"> 24 Oktober 2018</t>
  </si>
  <si>
    <t>Tunik</t>
  </si>
  <si>
    <t>Chusnul Cotimah</t>
  </si>
  <si>
    <t>196803111985032003</t>
  </si>
  <si>
    <t>570731984557000</t>
  </si>
  <si>
    <t>0402024062</t>
  </si>
  <si>
    <t>3507231503620002</t>
  </si>
  <si>
    <t>Yayuk Harumiwati, S.Pd</t>
  </si>
  <si>
    <t>Malang,07-11-1961</t>
  </si>
  <si>
    <t>196111071985122002</t>
  </si>
  <si>
    <t>19611107 198512 2 002</t>
  </si>
  <si>
    <t>01/04/2006</t>
  </si>
  <si>
    <t>Sosiologi</t>
  </si>
  <si>
    <t>1439739614300003</t>
  </si>
  <si>
    <t>01/12/2021</t>
  </si>
  <si>
    <t>08056821410174</t>
  </si>
  <si>
    <t>31/12/2008</t>
  </si>
  <si>
    <t>083934054018</t>
  </si>
  <si>
    <t>Jl. Sumbersari 292 Malang</t>
  </si>
  <si>
    <t>Kelurahan Sumbersari</t>
  </si>
  <si>
    <t>Kec. Lowokwaru</t>
  </si>
  <si>
    <t>081216467799</t>
  </si>
  <si>
    <t>yayukharumiwati@yahoo.id.co</t>
  </si>
  <si>
    <t>2353/104.3/C9.86/SK</t>
  </si>
  <si>
    <t>15875.60/104/C/87/SK</t>
  </si>
  <si>
    <t>823.4/66/042/2006</t>
  </si>
  <si>
    <t>27 Februari 2006</t>
  </si>
  <si>
    <t>Janda/Duda</t>
  </si>
  <si>
    <t>--</t>
  </si>
  <si>
    <t>Tidak bekerja</t>
  </si>
  <si>
    <t>486370026628000</t>
  </si>
  <si>
    <t>0402055219</t>
  </si>
  <si>
    <t>3573054711610000</t>
  </si>
  <si>
    <t>081937944489</t>
  </si>
  <si>
    <t>Ninil Agus Triastuti, S.Pd</t>
  </si>
  <si>
    <t>Malang,11-08-1963</t>
  </si>
  <si>
    <t>196308111985122002</t>
  </si>
  <si>
    <t>19630811 198512 2 002</t>
  </si>
  <si>
    <t>Bahasa Inggris</t>
  </si>
  <si>
    <t>0143741642300063</t>
  </si>
  <si>
    <t>01/09/2023</t>
  </si>
  <si>
    <t>08056815710175</t>
  </si>
  <si>
    <t>084331055011</t>
  </si>
  <si>
    <t>Jl. Seruni 14 RT. 03 / RW. 04 Mulyoagung Dau Malang</t>
  </si>
  <si>
    <t>Mulyoagung</t>
  </si>
  <si>
    <t>Kec. Dau</t>
  </si>
  <si>
    <t>081330007282</t>
  </si>
  <si>
    <t>ninil.trias@gmail.com</t>
  </si>
  <si>
    <t>2346/104.3/0986/sk</t>
  </si>
  <si>
    <t>14805/I04/C/87/SK</t>
  </si>
  <si>
    <t>25 Nopember 1987</t>
  </si>
  <si>
    <t>01/12/1986</t>
  </si>
  <si>
    <t>Agus Sutrisno</t>
  </si>
  <si>
    <t>Wiraswasta</t>
  </si>
  <si>
    <t>486370034657000</t>
  </si>
  <si>
    <t>0402115009</t>
  </si>
  <si>
    <t>3507225108630004</t>
  </si>
  <si>
    <t>Dra. Amalia Ujinastiti</t>
  </si>
  <si>
    <t>Yogyakarta, 29-5-1962</t>
  </si>
  <si>
    <t>196205291989032004</t>
  </si>
  <si>
    <t>19620529 198903 2 004</t>
  </si>
  <si>
    <t>01/04/2002</t>
  </si>
  <si>
    <t>01/03/1989</t>
  </si>
  <si>
    <t>Kimia</t>
  </si>
  <si>
    <t>1861740641300032</t>
  </si>
  <si>
    <t>01/06/2022</t>
  </si>
  <si>
    <t>08056818710190</t>
  </si>
  <si>
    <t>086128054003</t>
  </si>
  <si>
    <t>Villa Sengkaling , Jl. Taman Sengkaling XII / N - 78</t>
  </si>
  <si>
    <t>08123322814</t>
  </si>
  <si>
    <t>ajinastiti@gmail.com</t>
  </si>
  <si>
    <t>11205/I04/c/89/sk</t>
  </si>
  <si>
    <t>16 Juni 1989</t>
  </si>
  <si>
    <t>3144/I04/C/90/SK</t>
  </si>
  <si>
    <t>30 Maret 1990</t>
  </si>
  <si>
    <t>01/04/1990</t>
  </si>
  <si>
    <t>823.4/352/422.015/2002</t>
  </si>
  <si>
    <t>30 Juli 2002</t>
  </si>
  <si>
    <t>Iman Kuswahyono</t>
  </si>
  <si>
    <t>195710211986011002</t>
  </si>
  <si>
    <t>486370000657000</t>
  </si>
  <si>
    <t>0402126710</t>
  </si>
  <si>
    <t>3507226905620003</t>
  </si>
  <si>
    <t>Dra. Shofiyatuz Zahra</t>
  </si>
  <si>
    <t>Nganjuk,12-12-1961</t>
  </si>
  <si>
    <t>196112121989022003</t>
  </si>
  <si>
    <t>19611212 198902 2 003</t>
  </si>
  <si>
    <t>01/02/1989</t>
  </si>
  <si>
    <t>Bahasa Indonesia</t>
  </si>
  <si>
    <t>9544739640300073</t>
  </si>
  <si>
    <t>01/01/2022</t>
  </si>
  <si>
    <t>08056815610188</t>
  </si>
  <si>
    <t>084435053060</t>
  </si>
  <si>
    <t>Jl. Imam bonjol V no 20 RT. 01 / RW. 01 Sisir Batu</t>
  </si>
  <si>
    <t>08123300782</t>
  </si>
  <si>
    <t>shofizahra@hotmail.com</t>
  </si>
  <si>
    <t>5606/104/c/89/sk</t>
  </si>
  <si>
    <t>27 Maret 1989</t>
  </si>
  <si>
    <t>4504/104/C/90/Sk</t>
  </si>
  <si>
    <t>30 April 1990</t>
  </si>
  <si>
    <t>01/05/1990</t>
  </si>
  <si>
    <t xml:space="preserve">823.4/345/042/2005, </t>
  </si>
  <si>
    <t>821.2/2381/204/2018</t>
  </si>
  <si>
    <t>Didik Supriadi</t>
  </si>
  <si>
    <t>196410131990101001</t>
  </si>
  <si>
    <t>570732073628000</t>
  </si>
  <si>
    <t>0402040777</t>
  </si>
  <si>
    <t>3579015212610001</t>
  </si>
  <si>
    <t>081334336333</t>
  </si>
  <si>
    <t>Mudrikah Hayati, S.Pd</t>
  </si>
  <si>
    <t>Blitar,22-06-1963</t>
  </si>
  <si>
    <t>196306221987032006</t>
  </si>
  <si>
    <t>19630622 198703 2 006</t>
  </si>
  <si>
    <t>2954741642300042</t>
  </si>
  <si>
    <t>01/07/2023</t>
  </si>
  <si>
    <t>08056815610179</t>
  </si>
  <si>
    <t>085429055019</t>
  </si>
  <si>
    <t>Perumahan Griya Sampurna Sejahtera A2/04 Ampeldento Malang</t>
  </si>
  <si>
    <t>Ampeldento</t>
  </si>
  <si>
    <t>08123398624</t>
  </si>
  <si>
    <t>you_mud@yahoo.com</t>
  </si>
  <si>
    <t>3470/104/c/87/sk</t>
  </si>
  <si>
    <t>1 Mei 1987</t>
  </si>
  <si>
    <t>25980/I04/C/88/Sk</t>
  </si>
  <si>
    <t>15 Desember 1988</t>
  </si>
  <si>
    <t>01/01/1989</t>
  </si>
  <si>
    <t>486360886657000</t>
  </si>
  <si>
    <t>0402066466</t>
  </si>
  <si>
    <t>3507236206630001</t>
  </si>
  <si>
    <t>Tri Sakti Andayani. M.Pd</t>
  </si>
  <si>
    <t>Trenggalek,26-8-1965</t>
  </si>
  <si>
    <t>196508261988032015</t>
  </si>
  <si>
    <t>19650826 198803 2 015</t>
  </si>
  <si>
    <t>6158743644300023</t>
  </si>
  <si>
    <t>01/09/2025</t>
  </si>
  <si>
    <t>08056819010184</t>
  </si>
  <si>
    <t>085831057006</t>
  </si>
  <si>
    <t>Jl. Ir. Soekarno NO. 127 Beji Junrejo Batu</t>
  </si>
  <si>
    <t>Beji</t>
  </si>
  <si>
    <t>0818387274</t>
  </si>
  <si>
    <t>trisaktiandayani@yahoo.com</t>
  </si>
  <si>
    <t>7068/104/c/1988/sk</t>
  </si>
  <si>
    <t>6849/I04/C/1989/SK</t>
  </si>
  <si>
    <t>12 April 1989</t>
  </si>
  <si>
    <t>01/05/1989</t>
  </si>
  <si>
    <t>Belum Kawin</t>
  </si>
  <si>
    <t>474677275628000</t>
  </si>
  <si>
    <t>0402115025</t>
  </si>
  <si>
    <t>3579036608650001</t>
  </si>
  <si>
    <t>085101777511</t>
  </si>
  <si>
    <t>Drs. Sugeng Harianto</t>
  </si>
  <si>
    <t>Malang, 31-7-1962</t>
  </si>
  <si>
    <t>196207311990031003</t>
  </si>
  <si>
    <t>19620731 199003 1 003</t>
  </si>
  <si>
    <t>01/04/2007</t>
  </si>
  <si>
    <t>01/03/1990</t>
  </si>
  <si>
    <t>Pend. Agama Islam</t>
  </si>
  <si>
    <t>1063740646200003</t>
  </si>
  <si>
    <t>01/08/2022</t>
  </si>
  <si>
    <t>09056812720024</t>
  </si>
  <si>
    <t>15/12/2009</t>
  </si>
  <si>
    <t>091588387022</t>
  </si>
  <si>
    <t>Pinang Sepuluh N0 6 RT. 01 / RW. 08 Sidomulyo Batu</t>
  </si>
  <si>
    <t>Sidomulyo</t>
  </si>
  <si>
    <t>082234989527</t>
  </si>
  <si>
    <t>sugengtaman06@gmail.com</t>
  </si>
  <si>
    <t>8511/I04/C/90/SK</t>
  </si>
  <si>
    <t>30 Juni 1990</t>
  </si>
  <si>
    <t>13008/I04/C/1991/SK</t>
  </si>
  <si>
    <t>30 Oktober 1991</t>
  </si>
  <si>
    <t>01/11/1991</t>
  </si>
  <si>
    <t>823.4/555/042/2007</t>
  </si>
  <si>
    <t>Kurrota Akyun</t>
  </si>
  <si>
    <t>474677309628000</t>
  </si>
  <si>
    <t>0402014831</t>
  </si>
  <si>
    <t>3579013107620001</t>
  </si>
  <si>
    <t>Yudiono, S.Pd</t>
  </si>
  <si>
    <t>Malang,12-09-1965</t>
  </si>
  <si>
    <t>196509121989031017</t>
  </si>
  <si>
    <t>19650912 198903 1 017</t>
  </si>
  <si>
    <t>01/04/2008</t>
  </si>
  <si>
    <t>5244743646200073</t>
  </si>
  <si>
    <t>09056818010170</t>
  </si>
  <si>
    <t>23/10/2009</t>
  </si>
  <si>
    <t>091839392006</t>
  </si>
  <si>
    <t>Jl. Durian 1 RT. 01 / RW. 04 Mulyoagung Dau Malang</t>
  </si>
  <si>
    <t>Dermo</t>
  </si>
  <si>
    <t>085649508609</t>
  </si>
  <si>
    <t>yudiono1965@yahoo.co.id</t>
  </si>
  <si>
    <t>11438/104c/89/sk</t>
  </si>
  <si>
    <t>19 Juni 1989</t>
  </si>
  <si>
    <t>13876/I04/C/90/SK</t>
  </si>
  <si>
    <t>31 Agustus 1990</t>
  </si>
  <si>
    <t>01/09/1990</t>
  </si>
  <si>
    <t>823.4/224/042/2008</t>
  </si>
  <si>
    <t>22 Februari 2008</t>
  </si>
  <si>
    <t>Tuni</t>
  </si>
  <si>
    <t>Eni Astutik</t>
  </si>
  <si>
    <t>474677291657000</t>
  </si>
  <si>
    <t>0402115114</t>
  </si>
  <si>
    <t>3507221209650001</t>
  </si>
  <si>
    <t>Awaludin, M.Pd</t>
  </si>
  <si>
    <t>Ujung Pandang,15-07-1965</t>
  </si>
  <si>
    <t>196507151993031008</t>
  </si>
  <si>
    <t>19650715 199303 1 008</t>
  </si>
  <si>
    <t>01/10/2006</t>
  </si>
  <si>
    <t>01/03/1993</t>
  </si>
  <si>
    <t>5047743644200043</t>
  </si>
  <si>
    <t>01/08/2025</t>
  </si>
  <si>
    <t>09056818010177</t>
  </si>
  <si>
    <t>091988392005</t>
  </si>
  <si>
    <t>Jl. Dewi Sartika III B No. 15 RT. 07 / RW. 09 Temas Batu</t>
  </si>
  <si>
    <t>081331264099</t>
  </si>
  <si>
    <t>awaluddin418@gmail.com</t>
  </si>
  <si>
    <t>594/118.c.1/c3/1993</t>
  </si>
  <si>
    <t>23 Juni 1993</t>
  </si>
  <si>
    <t>5445a/I18.c.1/C3/1994</t>
  </si>
  <si>
    <t>30 Nopember 1994</t>
  </si>
  <si>
    <t>01/12/1994</t>
  </si>
  <si>
    <t>823/1315/042/2006</t>
  </si>
  <si>
    <t>27 Desember 2006</t>
  </si>
  <si>
    <t>Endang Srigati</t>
  </si>
  <si>
    <t>570732057628000</t>
  </si>
  <si>
    <t>0402115122</t>
  </si>
  <si>
    <t>3579011507650001</t>
  </si>
  <si>
    <t>Abdul Khamid, S.Pd</t>
  </si>
  <si>
    <t>Malang, 21-08-1969</t>
  </si>
  <si>
    <t>196908211994031005</t>
  </si>
  <si>
    <t>19690821 199403 1 005</t>
  </si>
  <si>
    <t>01/03/1994</t>
  </si>
  <si>
    <t>SMAN 1 NGANTANG</t>
  </si>
  <si>
    <t>PKn</t>
  </si>
  <si>
    <t>9153747649200023</t>
  </si>
  <si>
    <t>01/09/2029</t>
  </si>
  <si>
    <t>08051815411520</t>
  </si>
  <si>
    <t>085331061011</t>
  </si>
  <si>
    <t>Jl. Salak No.12 RT 02 RW 09 Binangun Bumiaji Kec.Bumiaji BatuHidayatin</t>
  </si>
  <si>
    <t>Binangun</t>
  </si>
  <si>
    <t>Bumiaji</t>
  </si>
  <si>
    <t>085100379225</t>
  </si>
  <si>
    <t>afabdillah@gmail.com</t>
  </si>
  <si>
    <t>53588/A2.IV.1/C/1994</t>
  </si>
  <si>
    <t>12 September 1994</t>
  </si>
  <si>
    <t>50330/I04.3/KP/1996</t>
  </si>
  <si>
    <t>29 Nopember 1996</t>
  </si>
  <si>
    <t>01/12/1996</t>
  </si>
  <si>
    <t>Dep. P dan K Prop. Jatim</t>
  </si>
  <si>
    <t>824.3/3676.1/101.1/2017</t>
  </si>
  <si>
    <t>587891094628000</t>
  </si>
  <si>
    <t>0047183511</t>
  </si>
  <si>
    <t>3579022108690001</t>
  </si>
  <si>
    <t>Shinta Amalia, M.Pd</t>
  </si>
  <si>
    <t>Bandung,20-12-1968</t>
  </si>
  <si>
    <t>196812201994122002</t>
  </si>
  <si>
    <t>19681220 199412 2 002</t>
  </si>
  <si>
    <t>6552746648300063</t>
  </si>
  <si>
    <t>01/01/2029</t>
  </si>
  <si>
    <t>09056818710186</t>
  </si>
  <si>
    <t>092240907003</t>
  </si>
  <si>
    <t>Perum Puncak Permata Sengkaling A1 Mulyoagung Dau Malang</t>
  </si>
  <si>
    <t>Sumber Sekar</t>
  </si>
  <si>
    <t>081252186117</t>
  </si>
  <si>
    <t>shintaamalia1968@gmail.com</t>
  </si>
  <si>
    <t>81943/A2/c/1994</t>
  </si>
  <si>
    <t>11 November 1994</t>
  </si>
  <si>
    <t>2084/1/102.Kep/KP.1b.1996</t>
  </si>
  <si>
    <t>30 Nopember 1996</t>
  </si>
  <si>
    <t>Toto Nusantara</t>
  </si>
  <si>
    <t>474677325657000</t>
  </si>
  <si>
    <t>0402143487</t>
  </si>
  <si>
    <t>3507226012680001</t>
  </si>
  <si>
    <t>Drs. Mohammad Qodri</t>
  </si>
  <si>
    <t>Malang,10-08-1962</t>
  </si>
  <si>
    <t>196208101995121002</t>
  </si>
  <si>
    <t>19620810 199512 1 002</t>
  </si>
  <si>
    <t>01/10/2008</t>
  </si>
  <si>
    <t>5142740641200043</t>
  </si>
  <si>
    <t>01/09/2022</t>
  </si>
  <si>
    <t>09056819010190</t>
  </si>
  <si>
    <t>091738877005</t>
  </si>
  <si>
    <t>Jl. Mangga 1b Ds. Klampok Singosari Malang</t>
  </si>
  <si>
    <t>Krajan</t>
  </si>
  <si>
    <t>Klampok</t>
  </si>
  <si>
    <t>Kec. Singosari</t>
  </si>
  <si>
    <t>0813337498070</t>
  </si>
  <si>
    <t>mqodri62@g.mail.com</t>
  </si>
  <si>
    <t>80199/A2/KP/1995</t>
  </si>
  <si>
    <t>23 Destember 1995</t>
  </si>
  <si>
    <t>81138/104.3/KP/1997</t>
  </si>
  <si>
    <t>23 September1997</t>
  </si>
  <si>
    <t>01/10/1997</t>
  </si>
  <si>
    <t>823.4/1132/042/2008</t>
  </si>
  <si>
    <t>5 Agustus 2008</t>
  </si>
  <si>
    <t>Kanikyah</t>
  </si>
  <si>
    <t>Eni Sulistiowati</t>
  </si>
  <si>
    <t>486370075657000</t>
  </si>
  <si>
    <t>0402016094</t>
  </si>
  <si>
    <t>3507241008620004</t>
  </si>
  <si>
    <t>081333749876</t>
  </si>
  <si>
    <t>Dra. Mustaghfiroh</t>
  </si>
  <si>
    <t>Malang,10-08-1966</t>
  </si>
  <si>
    <t>196601201995122002</t>
  </si>
  <si>
    <t>19660120 199512 2 002</t>
  </si>
  <si>
    <t>4452744646300042</t>
  </si>
  <si>
    <t>01/02/2026</t>
  </si>
  <si>
    <t>09056812720044</t>
  </si>
  <si>
    <t>15/10/2009</t>
  </si>
  <si>
    <t>091288902013</t>
  </si>
  <si>
    <t>Jl. Dorowati IV/13 Kel. Sisir Batu</t>
  </si>
  <si>
    <t>082229205758</t>
  </si>
  <si>
    <t>taghfirohmus@yahoo.co.id</t>
  </si>
  <si>
    <t>79074/A2/KP/1995</t>
  </si>
  <si>
    <t>30 November 1995</t>
  </si>
  <si>
    <t>74093/I04.3/KP/1997</t>
  </si>
  <si>
    <t>30 Juni 1997</t>
  </si>
  <si>
    <t>Alichwan Nurwiyono</t>
  </si>
  <si>
    <t>Lainnya</t>
  </si>
  <si>
    <t>486360894628000</t>
  </si>
  <si>
    <t>0402133228</t>
  </si>
  <si>
    <t>3579016001660002</t>
  </si>
  <si>
    <t>Tatang Yuli Ahmadi, M.Pd</t>
  </si>
  <si>
    <t>Malang, 03-07-1968</t>
  </si>
  <si>
    <t>196807031993021001</t>
  </si>
  <si>
    <t>19680703 199302 1 001</t>
  </si>
  <si>
    <t>01/2/1993</t>
  </si>
  <si>
    <t>6035746649200053</t>
  </si>
  <si>
    <t>01/08/2028</t>
  </si>
  <si>
    <t>09056815710178</t>
  </si>
  <si>
    <t>091586407005</t>
  </si>
  <si>
    <t>Jl. Bandulan VI No. 820 RT. 03. / RW. 03 Sukun Malang</t>
  </si>
  <si>
    <t>Bandulan</t>
  </si>
  <si>
    <t>082132195733</t>
  </si>
  <si>
    <t>tatangyuliahmadi@gmail.com</t>
  </si>
  <si>
    <t>2062/104/C/1993/SK</t>
  </si>
  <si>
    <t>31 Maret 1993</t>
  </si>
  <si>
    <t>4329/I04/C/1994/SK</t>
  </si>
  <si>
    <t>3 Juni 1994</t>
  </si>
  <si>
    <t>01/07/1994</t>
  </si>
  <si>
    <t>Sunarti</t>
  </si>
  <si>
    <t>Jhohanani</t>
  </si>
  <si>
    <t>486370067623000</t>
  </si>
  <si>
    <t>0402143444</t>
  </si>
  <si>
    <t>3573040307680005</t>
  </si>
  <si>
    <t>Ririn Andriana, M.Pd.</t>
  </si>
  <si>
    <t>Probolinggo,04-10-1965</t>
  </si>
  <si>
    <t>196510041996022001</t>
  </si>
  <si>
    <t>19651004 199602 2 001</t>
  </si>
  <si>
    <t>01/2/1996</t>
  </si>
  <si>
    <t>Bimbingan Konseling</t>
  </si>
  <si>
    <t>533674364300003</t>
  </si>
  <si>
    <t>01/11/2025</t>
  </si>
  <si>
    <t>09056881010192</t>
  </si>
  <si>
    <t>23/07/2009</t>
  </si>
  <si>
    <t>091736892005</t>
  </si>
  <si>
    <t>Jl. Seruni 19 RT. 03 /RW. 04 Dau Malang</t>
  </si>
  <si>
    <t>081334833432</t>
  </si>
  <si>
    <t>ririnandrianabintang@gmail.com</t>
  </si>
  <si>
    <t>4821/A2/KP/1996</t>
  </si>
  <si>
    <t>29 Januari 1996</t>
  </si>
  <si>
    <t>81135/I04.3/KP/1997</t>
  </si>
  <si>
    <t>23 September 1997</t>
  </si>
  <si>
    <t>Murtani</t>
  </si>
  <si>
    <t>Antonius Mulyono</t>
  </si>
  <si>
    <t>196105241988031004</t>
  </si>
  <si>
    <t>486360902657000</t>
  </si>
  <si>
    <t>0402022558</t>
  </si>
  <si>
    <t>3507224410650001</t>
  </si>
  <si>
    <t>Dra. Winda Khusmiati</t>
  </si>
  <si>
    <t>Malang, 01-05-1963</t>
  </si>
  <si>
    <t>196305011997032002</t>
  </si>
  <si>
    <t>19630501 199703 2 002</t>
  </si>
  <si>
    <t>01/04/2013</t>
  </si>
  <si>
    <t>01/03/1997</t>
  </si>
  <si>
    <t>Ekonomi</t>
  </si>
  <si>
    <t>6833741642300072</t>
  </si>
  <si>
    <t>01/06/2023</t>
  </si>
  <si>
    <t>09056821010194</t>
  </si>
  <si>
    <t>091485382013</t>
  </si>
  <si>
    <t>Perum Puri Indah B2 No 11 Beji Junrejo Batu</t>
  </si>
  <si>
    <t>087759629101</t>
  </si>
  <si>
    <t>indrakhusmiati@gmail.com</t>
  </si>
  <si>
    <t>19952/A2/KP/1997</t>
  </si>
  <si>
    <t>5 Fembruari 1997</t>
  </si>
  <si>
    <t>83914/I04.3/KP/1998</t>
  </si>
  <si>
    <t>31 Juli 1998</t>
  </si>
  <si>
    <t>01/08/1998</t>
  </si>
  <si>
    <t>823.4/452/212/2013</t>
  </si>
  <si>
    <t>25 Februari 2013</t>
  </si>
  <si>
    <t>Siti Halimah</t>
  </si>
  <si>
    <t>Pamor Patriawan</t>
  </si>
  <si>
    <t>196110091988031006</t>
  </si>
  <si>
    <t>486370125628000</t>
  </si>
  <si>
    <t>0402142821</t>
  </si>
  <si>
    <t>3579034105630002</t>
  </si>
  <si>
    <t>Drs. Hari Prasetyo</t>
  </si>
  <si>
    <t>Ponorogo, 23-05-1967</t>
  </si>
  <si>
    <t>196705231999031003</t>
  </si>
  <si>
    <t>19670523 199903 1 003</t>
  </si>
  <si>
    <t>01/03/1999</t>
  </si>
  <si>
    <t>PENJASKES</t>
  </si>
  <si>
    <t>5855745647200022</t>
  </si>
  <si>
    <t>01/06/2027</t>
  </si>
  <si>
    <t>09056822010196</t>
  </si>
  <si>
    <t>092387402002</t>
  </si>
  <si>
    <t>Jl. Hasanuddin VI/84 RT. 04 / RW. 09 Pesanggrahan Batu</t>
  </si>
  <si>
    <t>081803878203</t>
  </si>
  <si>
    <t>harihawug@gmail.com</t>
  </si>
  <si>
    <t>35961/104/KP/1999</t>
  </si>
  <si>
    <t>19 April 1999</t>
  </si>
  <si>
    <t>117680/I04.3/KP/2000</t>
  </si>
  <si>
    <t>29 Nopember 2000</t>
  </si>
  <si>
    <t>01/12/2000</t>
  </si>
  <si>
    <t>Marijatun</t>
  </si>
  <si>
    <t>Tri Retno Wulandari</t>
  </si>
  <si>
    <t>342412616628000</t>
  </si>
  <si>
    <t>0402013478</t>
  </si>
  <si>
    <t>3573012305670003</t>
  </si>
  <si>
    <t>Drs. Puji</t>
  </si>
  <si>
    <t>Malang,16-02-1961</t>
  </si>
  <si>
    <t>196102161988031006</t>
  </si>
  <si>
    <t>19610216 198803 1 006</t>
  </si>
  <si>
    <t>Penata Tk. I, III/d</t>
  </si>
  <si>
    <t>III/d</t>
  </si>
  <si>
    <t>1548739661200002</t>
  </si>
  <si>
    <t>01/03/2021</t>
  </si>
  <si>
    <t>10056881010114</t>
  </si>
  <si>
    <t>30/08/2010</t>
  </si>
  <si>
    <t>102035872011</t>
  </si>
  <si>
    <t>Jl. Lilin Mas No. 1 RT. 04 / RW. 02 Dadaprejo Junrejo Batu</t>
  </si>
  <si>
    <t>Areng-Areng</t>
  </si>
  <si>
    <t>Dadaprejo</t>
  </si>
  <si>
    <t>Kec. Manekar</t>
  </si>
  <si>
    <t>082142924791</t>
  </si>
  <si>
    <t>drspuji@yahooco.id</t>
  </si>
  <si>
    <t>7662/104/C/88/SK</t>
  </si>
  <si>
    <t>20 Juni 1988</t>
  </si>
  <si>
    <t>7691/I04/C/89/Sk</t>
  </si>
  <si>
    <t>19 April 1989</t>
  </si>
  <si>
    <t>Pemerintah Kab/Kota</t>
  </si>
  <si>
    <t>823.3/27/SK/422.203/2011</t>
  </si>
  <si>
    <t>5 Mei 2011</t>
  </si>
  <si>
    <t>821.2/011/422.024/2004</t>
  </si>
  <si>
    <t>4 Mei 2004</t>
  </si>
  <si>
    <t>Poniti</t>
  </si>
  <si>
    <t>Endang A</t>
  </si>
  <si>
    <t>196208271984122005</t>
  </si>
  <si>
    <t>486370109628000</t>
  </si>
  <si>
    <t>0402144700</t>
  </si>
  <si>
    <t>35790031602610002</t>
  </si>
  <si>
    <t>Rina Yuliawati, S.Pd, M.Ed</t>
  </si>
  <si>
    <t>Malang, 08-07-1967</t>
  </si>
  <si>
    <t>196707081989012003</t>
  </si>
  <si>
    <t>19670708 198901 2 003</t>
  </si>
  <si>
    <t>01/10/2011</t>
  </si>
  <si>
    <t>MKG II/d- 1 tahun</t>
  </si>
  <si>
    <t>7040745646300013</t>
  </si>
  <si>
    <t>01/08/2027</t>
  </si>
  <si>
    <t>08056815710186</t>
  </si>
  <si>
    <t>84030059020</t>
  </si>
  <si>
    <t>Perum Bumiasri Sengkaling FF-10 Mulyoagung Dau Malang</t>
  </si>
  <si>
    <t>Sengkaling</t>
  </si>
  <si>
    <t>081217404962</t>
  </si>
  <si>
    <t>rinayuliawatisman1batu@gmail.com</t>
  </si>
  <si>
    <t>4602/104/C/89/SK</t>
  </si>
  <si>
    <t>13 Maret 1989</t>
  </si>
  <si>
    <t>10513/I04/C/90/SK</t>
  </si>
  <si>
    <t>31 Juli 1990</t>
  </si>
  <si>
    <t>01/08/1990</t>
  </si>
  <si>
    <t>823.3/63/SK/422.203/2011</t>
  </si>
  <si>
    <t>20 Oktober 2011</t>
  </si>
  <si>
    <t>Harsusi</t>
  </si>
  <si>
    <t>Nurkholis</t>
  </si>
  <si>
    <t>196607061991031001</t>
  </si>
  <si>
    <t>570731992657000</t>
  </si>
  <si>
    <t>0402141841</t>
  </si>
  <si>
    <t>3507224807670002</t>
  </si>
  <si>
    <t>082139025141</t>
  </si>
  <si>
    <t>Subari, S.Pd</t>
  </si>
  <si>
    <t>Malang, 12-03-1965</t>
  </si>
  <si>
    <t>196503121986031021</t>
  </si>
  <si>
    <t>19650312 198603 1 021</t>
  </si>
  <si>
    <t>01/03/1986</t>
  </si>
  <si>
    <t>4644743644200062</t>
  </si>
  <si>
    <t>01/04/2025</t>
  </si>
  <si>
    <t>10056821410112</t>
  </si>
  <si>
    <t>101390892015</t>
  </si>
  <si>
    <t>Ds. Tirtomoyo RT. 01 / RW. 01 Pakis Malang</t>
  </si>
  <si>
    <t>Genitri</t>
  </si>
  <si>
    <t>Tirtomoyo</t>
  </si>
  <si>
    <t>Kec. Pakis</t>
  </si>
  <si>
    <t>082244174133</t>
  </si>
  <si>
    <t>subariirabus@gmail.com</t>
  </si>
  <si>
    <t>137.43/104/C/1986/SK</t>
  </si>
  <si>
    <t>30 Juli 1986</t>
  </si>
  <si>
    <t>11891/I04/C/87/SK</t>
  </si>
  <si>
    <t>5 Nopember 1987</t>
  </si>
  <si>
    <t>Kaseni</t>
  </si>
  <si>
    <t>Siti Maslukah</t>
  </si>
  <si>
    <t>486370091657000</t>
  </si>
  <si>
    <t>0402144645</t>
  </si>
  <si>
    <t>35730212611570001</t>
  </si>
  <si>
    <t>Sennawati, S.Pd</t>
  </si>
  <si>
    <t>Bone, 04-07-1968</t>
  </si>
  <si>
    <t>196807041998032006</t>
  </si>
  <si>
    <t>19680704 199803 2 006</t>
  </si>
  <si>
    <t>01/02/2011</t>
  </si>
  <si>
    <t>01/03/1998</t>
  </si>
  <si>
    <t>Bahasa Jerman</t>
  </si>
  <si>
    <t>4036746649300053</t>
  </si>
  <si>
    <t>09056816010199</t>
  </si>
  <si>
    <t>091438407007</t>
  </si>
  <si>
    <t>Jl. Bejo No. 10 D RT.02 / RW. 11 Sisir Batu</t>
  </si>
  <si>
    <t>081334190469</t>
  </si>
  <si>
    <t>senna.dayat@gmail.com</t>
  </si>
  <si>
    <t>2264/A2/KP/1998</t>
  </si>
  <si>
    <t>11 Februari 1998</t>
  </si>
  <si>
    <t>821.12/138/429.207/2001</t>
  </si>
  <si>
    <t>31 Oktober 2001</t>
  </si>
  <si>
    <t>01/11/2001</t>
  </si>
  <si>
    <t>Pemerintah Kab. Malang</t>
  </si>
  <si>
    <t>M. Hidayat</t>
  </si>
  <si>
    <t>196708301994031010</t>
  </si>
  <si>
    <t>474677374628000</t>
  </si>
  <si>
    <t>0402142774</t>
  </si>
  <si>
    <t>3579014407680002</t>
  </si>
  <si>
    <t>Purwoto, S.Pd, M.Pd</t>
  </si>
  <si>
    <t>Malang, 25-07-1965</t>
  </si>
  <si>
    <t>196507252005011007</t>
  </si>
  <si>
    <t>19650725 200501 1 007</t>
  </si>
  <si>
    <t>01/01/2005</t>
  </si>
  <si>
    <t>SMAN 2 BATU</t>
  </si>
  <si>
    <t>1839743646200004</t>
  </si>
  <si>
    <t>10056815410085</t>
  </si>
  <si>
    <t>21/06/2010</t>
  </si>
  <si>
    <t>102488392018</t>
  </si>
  <si>
    <t>Jl. Raya Oro Oro Ombo RT. 02 / RW. 07 Oro Oro Ombo Batu</t>
  </si>
  <si>
    <t>Oro oro Ombo</t>
  </si>
  <si>
    <t>Oro Oro Ombo</t>
  </si>
  <si>
    <t>Batu</t>
  </si>
  <si>
    <t>082244165163</t>
  </si>
  <si>
    <t>purwotobayu@gmail.com</t>
  </si>
  <si>
    <t>813.3/221/422.024/2005</t>
  </si>
  <si>
    <t>1 April 2005</t>
  </si>
  <si>
    <t>821.13/219/SK/422.024/2006</t>
  </si>
  <si>
    <t>1/9/2006</t>
  </si>
  <si>
    <t>823.3/16/SK/422.203/2013</t>
  </si>
  <si>
    <t>8 April 2013</t>
  </si>
  <si>
    <t>385719714628000</t>
  </si>
  <si>
    <t>0402020466</t>
  </si>
  <si>
    <t>3579012507650001</t>
  </si>
  <si>
    <t>Anis Dyah Wahyuti, S.Pd</t>
  </si>
  <si>
    <t>Kediri,17-05-1975</t>
  </si>
  <si>
    <t>197505172000122001</t>
  </si>
  <si>
    <t>19750517 200012 2 001</t>
  </si>
  <si>
    <t>9849753655300032</t>
  </si>
  <si>
    <t>01/06/2035</t>
  </si>
  <si>
    <t>09056818410200</t>
  </si>
  <si>
    <t>092087442002</t>
  </si>
  <si>
    <t>Jl. Tenes No 30 RT. 01 / RW. 03 Sisir Batu</t>
  </si>
  <si>
    <t>08123253881</t>
  </si>
  <si>
    <t>anissman1batu@gmail.com</t>
  </si>
  <si>
    <t>85552/A2/KP/2000</t>
  </si>
  <si>
    <t>30 Desember 2000</t>
  </si>
  <si>
    <t>821.2/07/422.031/2002</t>
  </si>
  <si>
    <t>28 Maret 2002</t>
  </si>
  <si>
    <t>01/03/2002</t>
  </si>
  <si>
    <t>Siti Maonah</t>
  </si>
  <si>
    <t>Achmad Sudjoko</t>
  </si>
  <si>
    <t xml:space="preserve">31970560171275    </t>
  </si>
  <si>
    <t>570732040628000</t>
  </si>
  <si>
    <t>0402061626</t>
  </si>
  <si>
    <t>3579015705760002</t>
  </si>
  <si>
    <t>Deddy Iskandar, S.Sn</t>
  </si>
  <si>
    <t>Malang, 14-09-1969</t>
  </si>
  <si>
    <t>196909142005011013</t>
  </si>
  <si>
    <t>19690914 200501 1 013</t>
  </si>
  <si>
    <t>01/10/2016</t>
  </si>
  <si>
    <t>Seni Budaya</t>
  </si>
  <si>
    <t>6246747649200023</t>
  </si>
  <si>
    <t>01/10/2029</t>
  </si>
  <si>
    <t>10056821710115</t>
  </si>
  <si>
    <t>24/06/2010</t>
  </si>
  <si>
    <t>101939412007</t>
  </si>
  <si>
    <t>Jl. Cemara Kipas 05 RT. 01 / RW. 01 Sidomulyo Batu</t>
  </si>
  <si>
    <t>Tinjumoyo</t>
  </si>
  <si>
    <t>081233344321</t>
  </si>
  <si>
    <t>deddy_kandar@yahoo.com</t>
  </si>
  <si>
    <t>813.3/147/422.024/2005</t>
  </si>
  <si>
    <t>821.13/154/SK/422.024/2006</t>
  </si>
  <si>
    <t>1 September 2006</t>
  </si>
  <si>
    <t>Wahyuningsih</t>
  </si>
  <si>
    <t>Erma Setyo Wahyuni</t>
  </si>
  <si>
    <t>486370166628000</t>
  </si>
  <si>
    <t>0402144581</t>
  </si>
  <si>
    <t>3579011409690002</t>
  </si>
  <si>
    <t>Iwan Yudi Hernawan, S.Pd, M.Pd.</t>
  </si>
  <si>
    <t>Blitar, 06-04-1975</t>
  </si>
  <si>
    <t>197504062005011016</t>
  </si>
  <si>
    <t>19750406 200501 1 016</t>
  </si>
  <si>
    <t>01/10/2017</t>
  </si>
  <si>
    <t>8738753654200002</t>
  </si>
  <si>
    <t>01/05/2035</t>
  </si>
  <si>
    <t>11051581011850</t>
  </si>
  <si>
    <t>118101172002</t>
  </si>
  <si>
    <t>Jl. Raya Giripurno 59/09 Bumiaji Batu</t>
  </si>
  <si>
    <t>Kedung</t>
  </si>
  <si>
    <t>Giripurno</t>
  </si>
  <si>
    <t>Kec. Bumiaji</t>
  </si>
  <si>
    <t>08123399237</t>
  </si>
  <si>
    <t>iwansmangat@yahoo.co.id</t>
  </si>
  <si>
    <t>813.3/231/409.201/2005</t>
  </si>
  <si>
    <t>12 April 2005</t>
  </si>
  <si>
    <t>813.3/239/409.201/2006</t>
  </si>
  <si>
    <t>31 Juli 2006</t>
  </si>
  <si>
    <t>01/08/2006</t>
  </si>
  <si>
    <t>823.3/1579/204/2017</t>
  </si>
  <si>
    <t>4 September 2017</t>
  </si>
  <si>
    <t>Pemerintah Provinsi</t>
  </si>
  <si>
    <t>821.2/1446/204/2017</t>
  </si>
  <si>
    <t>14 Agustus 2017</t>
  </si>
  <si>
    <t>Sri Harmani</t>
  </si>
  <si>
    <t>Wulandari</t>
  </si>
  <si>
    <t>485788897653000</t>
  </si>
  <si>
    <t>0402181478</t>
  </si>
  <si>
    <t>3579020604750003</t>
  </si>
  <si>
    <t>Agustini Purwanti, M.Pd.</t>
  </si>
  <si>
    <t>Malang, 15 Agustus 1975</t>
  </si>
  <si>
    <t>197508152005012011</t>
  </si>
  <si>
    <t>19750815 200501 2 011</t>
  </si>
  <si>
    <t>Penata, III/c</t>
  </si>
  <si>
    <t>III/c</t>
  </si>
  <si>
    <t>01/10/2019</t>
  </si>
  <si>
    <t>7147753654300033</t>
  </si>
  <si>
    <t>01/09/2035</t>
  </si>
  <si>
    <t>10056818410120</t>
  </si>
  <si>
    <t>101988942006</t>
  </si>
  <si>
    <t>Jl. Martorejo Gg. Melati No. 12 RT. 05 / RW. 02 Dadaprejo Junrejo Batu</t>
  </si>
  <si>
    <t>Areng Areng</t>
  </si>
  <si>
    <t>085334238817</t>
  </si>
  <si>
    <t>agustinipurwanti15@gmail.com</t>
  </si>
  <si>
    <t>8133/136/422.024/2005</t>
  </si>
  <si>
    <t>813.13/143/SK/422.024/2006</t>
  </si>
  <si>
    <t>823.3/4016/204/2019</t>
  </si>
  <si>
    <t>2 September 2019</t>
  </si>
  <si>
    <t>821.2/2420/204/2018</t>
  </si>
  <si>
    <t>25 Oktober 2018</t>
  </si>
  <si>
    <t>Rupinah</t>
  </si>
  <si>
    <t>Drs Sudaryanto</t>
  </si>
  <si>
    <t>486360928628000</t>
  </si>
  <si>
    <t>0402137355</t>
  </si>
  <si>
    <t>3579035508750001</t>
  </si>
  <si>
    <t>Drs. Pa'i</t>
  </si>
  <si>
    <t>Pasuruan, 23-01-1965</t>
  </si>
  <si>
    <t>196501232007011002</t>
  </si>
  <si>
    <t>19650123 200701 1 002</t>
  </si>
  <si>
    <t>01/01/2007</t>
  </si>
  <si>
    <t>2455743646200022</t>
  </si>
  <si>
    <t>01/02/2025</t>
  </si>
  <si>
    <t>07056815490001</t>
  </si>
  <si>
    <t>28/03/2008</t>
  </si>
  <si>
    <t>072385392003</t>
  </si>
  <si>
    <t>Jl. KH. Agus Salim II/09 RT. 02 / RW. 01 Sisir Batu</t>
  </si>
  <si>
    <t>081803896255</t>
  </si>
  <si>
    <t>paibatu@gmail.com</t>
  </si>
  <si>
    <t>813.3/374/SK/422.024/2007</t>
  </si>
  <si>
    <t>23 Desember 2007</t>
  </si>
  <si>
    <t>813.3/036.1/422.024/2009</t>
  </si>
  <si>
    <t>16 April 2009</t>
  </si>
  <si>
    <t>01/05/2009</t>
  </si>
  <si>
    <t>823.3/36/SK/422.203/2016</t>
  </si>
  <si>
    <t>23 September 2016</t>
  </si>
  <si>
    <t>821.2/030/SK/422.203/2010</t>
  </si>
  <si>
    <t>30 April 2010</t>
  </si>
  <si>
    <t>Danah</t>
  </si>
  <si>
    <t>Maslahah</t>
  </si>
  <si>
    <t>196511092007012016</t>
  </si>
  <si>
    <t>871528501628000</t>
  </si>
  <si>
    <t>0402037105</t>
  </si>
  <si>
    <t>3579012301650001</t>
  </si>
  <si>
    <t>082232268907</t>
  </si>
  <si>
    <t>Hermawanto, M.Pd.</t>
  </si>
  <si>
    <t>Batu, 19-02-1983</t>
  </si>
  <si>
    <t>198302192006041011</t>
  </si>
  <si>
    <t>19830219 200604 1 011</t>
  </si>
  <si>
    <t>01/04/2016</t>
  </si>
  <si>
    <t>1551761662200022</t>
  </si>
  <si>
    <t>01/03/2043</t>
  </si>
  <si>
    <t>16056818410059</t>
  </si>
  <si>
    <t>28/12/2016</t>
  </si>
  <si>
    <t>161841103053</t>
  </si>
  <si>
    <t>Jl. Imam Bonjol II 18 J Sisir Batu</t>
  </si>
  <si>
    <t>081334738339</t>
  </si>
  <si>
    <t>hermawanto2007@gmail.com</t>
  </si>
  <si>
    <t>813.3/006/SK/422.024/2006</t>
  </si>
  <si>
    <t>1 Agustus 2006</t>
  </si>
  <si>
    <t>821.13/012/422.024/2008</t>
  </si>
  <si>
    <t>10 Maret 2008</t>
  </si>
  <si>
    <t>823.3/15/SK/422.203/2016</t>
  </si>
  <si>
    <t>7 April 2016</t>
  </si>
  <si>
    <t>Sanikyah</t>
  </si>
  <si>
    <t>Yosefa Petra Paula Pada</t>
  </si>
  <si>
    <t>198109182010012029</t>
  </si>
  <si>
    <t>474809662628000</t>
  </si>
  <si>
    <t>0402042944</t>
  </si>
  <si>
    <t>3579031902830003</t>
  </si>
  <si>
    <t>Reny Widayanti,SE</t>
  </si>
  <si>
    <t>Batu-Malang, 03-12-1972</t>
  </si>
  <si>
    <t>197212032006042005</t>
  </si>
  <si>
    <t>19721203 200604 2 005</t>
  </si>
  <si>
    <t>01/10/2015</t>
  </si>
  <si>
    <t>SMK 17 Agustus Batu</t>
  </si>
  <si>
    <t>Akuntansi</t>
  </si>
  <si>
    <t>6535750652300063</t>
  </si>
  <si>
    <t>01/01/2033</t>
  </si>
  <si>
    <t>11056854010132</t>
  </si>
  <si>
    <t>05/10/2011</t>
  </si>
  <si>
    <t>115401959002</t>
  </si>
  <si>
    <t>Jl. Diponegoro RT. 07 / RW. 01 No. 67 Sisir Batu</t>
  </si>
  <si>
    <t>088219358320</t>
  </si>
  <si>
    <t>renywidiyanti372@gmail.com</t>
  </si>
  <si>
    <t>813.3/209/SK/422.024/2007</t>
  </si>
  <si>
    <t>12 Maret 2007</t>
  </si>
  <si>
    <t>823.3/45/SK/422.203/2015</t>
  </si>
  <si>
    <t>8 September 2015</t>
  </si>
  <si>
    <t>Sumiati</t>
  </si>
  <si>
    <t>Bambang Sumardi, S.H.</t>
  </si>
  <si>
    <t>258970193628000</t>
  </si>
  <si>
    <t>0402021284</t>
  </si>
  <si>
    <t>3579014312720004</t>
  </si>
  <si>
    <t>Umi Solikah, S.Pd.</t>
  </si>
  <si>
    <t>Batu, 13-04-1971</t>
  </si>
  <si>
    <t>197104132006042023</t>
  </si>
  <si>
    <t>19710413 200604 2 023</t>
  </si>
  <si>
    <t>0745749651300052</t>
  </si>
  <si>
    <t>01/05/2031</t>
  </si>
  <si>
    <t>10056819010109</t>
  </si>
  <si>
    <t>101886922007</t>
  </si>
  <si>
    <t>Jl. Abdul Gani Bawah III / 2A Ngaglik Batu</t>
  </si>
  <si>
    <t>solikahumi@rocketmail.com</t>
  </si>
  <si>
    <t>813.3/093/SK/422.024/2007</t>
  </si>
  <si>
    <t>26 Januari 2007</t>
  </si>
  <si>
    <t>821.2/3475/204/2019</t>
  </si>
  <si>
    <t>29 Juli 2019</t>
  </si>
  <si>
    <t>Kasiani</t>
  </si>
  <si>
    <t>Sumadi</t>
  </si>
  <si>
    <t>196509301995121003</t>
  </si>
  <si>
    <t>570732032628000</t>
  </si>
  <si>
    <t>0402098244</t>
  </si>
  <si>
    <t>3579015304710006</t>
  </si>
  <si>
    <t>Nita Rimayanti, S.Pd.</t>
  </si>
  <si>
    <t>Malang, 28-07-1986</t>
  </si>
  <si>
    <t>198607282009032005</t>
  </si>
  <si>
    <t>19860728 200903 2 005</t>
  </si>
  <si>
    <t>Penata</t>
  </si>
  <si>
    <t>01//04/2020</t>
  </si>
  <si>
    <t>11/03/2009</t>
  </si>
  <si>
    <t>Pend. Ekonomi</t>
  </si>
  <si>
    <t>5060764665210083</t>
  </si>
  <si>
    <t>01/08/2046</t>
  </si>
  <si>
    <t>Jl. Atmorejo No. 31 Bulukerto, RT.006 RW. 001 Kel. Bulukerto Kec. Bumiaji Kota Batu</t>
  </si>
  <si>
    <t>Bulukerto</t>
  </si>
  <si>
    <t>085100484386</t>
  </si>
  <si>
    <t>neethacuteone8386@gmail.com</t>
  </si>
  <si>
    <t>813.3/0194/SK/422.402/2009</t>
  </si>
  <si>
    <t>29 April 2009</t>
  </si>
  <si>
    <t>01/03/2009</t>
  </si>
  <si>
    <t>821.13/173/422.203/2011</t>
  </si>
  <si>
    <t>25 Januari 2011</t>
  </si>
  <si>
    <t>01/03/2011</t>
  </si>
  <si>
    <t>823.3/1079/204/2020</t>
  </si>
  <si>
    <t>6 Maret 2020</t>
  </si>
  <si>
    <t>01/04/2020</t>
  </si>
  <si>
    <t>821.2/057/SK/422.203/2011</t>
  </si>
  <si>
    <t>9 Agustus 2011</t>
  </si>
  <si>
    <t>Linarti</t>
  </si>
  <si>
    <t>Sam Helmi Ardian, S.H</t>
  </si>
  <si>
    <t>Kepolisian RI</t>
  </si>
  <si>
    <t>885265850628000</t>
  </si>
  <si>
    <t>3579026807860002</t>
  </si>
  <si>
    <t>Sutejo, S.Pd</t>
  </si>
  <si>
    <t>Banjarnegara, 09-07-1973</t>
  </si>
  <si>
    <t>197307092006041013</t>
  </si>
  <si>
    <t>19730709 200604 1 013</t>
  </si>
  <si>
    <t>Penata Muda Tk. I, III/b</t>
  </si>
  <si>
    <t>III/b</t>
  </si>
  <si>
    <t>1041751653200023</t>
  </si>
  <si>
    <t>01/08/2033</t>
  </si>
  <si>
    <t>10056820410110</t>
  </si>
  <si>
    <t>101589432011</t>
  </si>
  <si>
    <t>Jl. Basket No. 9 Sisir Batu</t>
  </si>
  <si>
    <t>082231730750</t>
  </si>
  <si>
    <t>sutejo_43@yahoo.com</t>
  </si>
  <si>
    <t>813.3/074/SK/422.024/2007</t>
  </si>
  <si>
    <t>813.3/012/422.024/2008</t>
  </si>
  <si>
    <t>10  Maret 2008</t>
  </si>
  <si>
    <t>Widyanti</t>
  </si>
  <si>
    <t>197408082008012008</t>
  </si>
  <si>
    <t>570732024628000</t>
  </si>
  <si>
    <t>0402144912</t>
  </si>
  <si>
    <t>3579010907730003</t>
  </si>
  <si>
    <t>082141892400</t>
  </si>
  <si>
    <t>Kuswanto, M.Pd.K</t>
  </si>
  <si>
    <t>Pati, 10 Maret 1964</t>
  </si>
  <si>
    <t>196403102007011014</t>
  </si>
  <si>
    <t>19640310 200701 1 014</t>
  </si>
  <si>
    <t>01/04/2012</t>
  </si>
  <si>
    <t>Pend. Agama Kristen</t>
  </si>
  <si>
    <t>0335742644200013</t>
  </si>
  <si>
    <t>01/04/2024</t>
  </si>
  <si>
    <t>14056813420006</t>
  </si>
  <si>
    <t>16/12/2014</t>
  </si>
  <si>
    <t>141342476022</t>
  </si>
  <si>
    <t>Kristen</t>
  </si>
  <si>
    <t>Griyasanta Blok H 262 RT. 01 / RW. 15 Mojolangu Lowokwaru Malang</t>
  </si>
  <si>
    <t>Mojolangu</t>
  </si>
  <si>
    <t>081615603378</t>
  </si>
  <si>
    <t>kuswantokuswanto703@gmail.com</t>
  </si>
  <si>
    <t>813.3/815/SK/422.024/2007</t>
  </si>
  <si>
    <t>28 Desember 2007</t>
  </si>
  <si>
    <t>821.13/036.1/422.402/2009</t>
  </si>
  <si>
    <t>823.3/16/SK/422.203/2012</t>
  </si>
  <si>
    <t>27 Maret 2012</t>
  </si>
  <si>
    <t>Wanisih</t>
  </si>
  <si>
    <t>Yolanda Chistin Siahaya</t>
  </si>
  <si>
    <t>574707816652000</t>
  </si>
  <si>
    <t>0402122358</t>
  </si>
  <si>
    <t>3573051003640001</t>
  </si>
  <si>
    <t>Drs. Bonari</t>
  </si>
  <si>
    <t>Blitar, 30-10-1963</t>
  </si>
  <si>
    <t>196310302007011004</t>
  </si>
  <si>
    <t>19631030 200701 1 004</t>
  </si>
  <si>
    <t>7362741644200013</t>
  </si>
  <si>
    <t>01/11/2023</t>
  </si>
  <si>
    <t>13056820710119</t>
  </si>
  <si>
    <t>16/10/2013</t>
  </si>
  <si>
    <t>132071467002</t>
  </si>
  <si>
    <t>Jl. Magersari Utara A-4</t>
  </si>
  <si>
    <t>Kebonagung</t>
  </si>
  <si>
    <t>Kec. Pakisaji</t>
  </si>
  <si>
    <t>081558333432</t>
  </si>
  <si>
    <t>betsymaartje@gmail.com</t>
  </si>
  <si>
    <t>813.3/364/SK/422.024/2007</t>
  </si>
  <si>
    <t>823.3/20/SK/422.203/2012</t>
  </si>
  <si>
    <t>30 April 2012</t>
  </si>
  <si>
    <t>Maartje Elisabeth</t>
  </si>
  <si>
    <t>Karyawan Swasta</t>
  </si>
  <si>
    <t>885265116654000</t>
  </si>
  <si>
    <t>0402109882</t>
  </si>
  <si>
    <t>3507193010630001</t>
  </si>
  <si>
    <t>081216541845</t>
  </si>
  <si>
    <t>Dra. Wahyuni</t>
  </si>
  <si>
    <t>Malang, 17-3-1965</t>
  </si>
  <si>
    <t>196503172008012005</t>
  </si>
  <si>
    <t>19650317 200801 2 005</t>
  </si>
  <si>
    <t>01/01/2008</t>
  </si>
  <si>
    <t>2649743645300012</t>
  </si>
  <si>
    <t>11056819010110</t>
  </si>
  <si>
    <t>25/10/2011</t>
  </si>
  <si>
    <t>111901294001</t>
  </si>
  <si>
    <t>Jl. Diponegoro  RT. 01 / RW. 04 Junrejo Batu</t>
  </si>
  <si>
    <t>Junwatu</t>
  </si>
  <si>
    <t>Junrejo</t>
  </si>
  <si>
    <t>082234040400</t>
  </si>
  <si>
    <t>wahyuni.ninok@yahoo.com</t>
  </si>
  <si>
    <t>813.3/238/SK/422.024/2008</t>
  </si>
  <si>
    <t>12 Oktober 2008</t>
  </si>
  <si>
    <t>821.13/057/422.203/2009</t>
  </si>
  <si>
    <t>31 Desember 2009</t>
  </si>
  <si>
    <t>01/01/2010</t>
  </si>
  <si>
    <t>821.2/054/SK/422.203/2010</t>
  </si>
  <si>
    <t>30 Agustus 2010</t>
  </si>
  <si>
    <t>Sudarmi</t>
  </si>
  <si>
    <t>878675586638000</t>
  </si>
  <si>
    <t>0402155388</t>
  </si>
  <si>
    <t>3579035703650001</t>
  </si>
  <si>
    <t>Dra. Nina Dwiana</t>
  </si>
  <si>
    <t>Blitar,17-05-1966</t>
  </si>
  <si>
    <t>196605172008012007</t>
  </si>
  <si>
    <t>19660517 200801 2 007</t>
  </si>
  <si>
    <t>1849744646300082</t>
  </si>
  <si>
    <t>01/06/2026</t>
  </si>
  <si>
    <t>11056818010117</t>
  </si>
  <si>
    <t>111801976011</t>
  </si>
  <si>
    <t>Jl. Dahlia 16 Sengkaling RT. 001 / RW. 007 Muloagung Dau Malang</t>
  </si>
  <si>
    <t>08170505332</t>
  </si>
  <si>
    <t>ninadwiyana05@gmail.com</t>
  </si>
  <si>
    <t>813.3 / 234 / SK / 422.024 / 2008</t>
  </si>
  <si>
    <t>17 Oktober 2008</t>
  </si>
  <si>
    <t>821.13 / 057 / 422. 203 / 2009</t>
  </si>
  <si>
    <t>Rudi Santoso</t>
  </si>
  <si>
    <t>196601121989031001</t>
  </si>
  <si>
    <t>871528485657000</t>
  </si>
  <si>
    <t>0402022477</t>
  </si>
  <si>
    <t>3507225705660001</t>
  </si>
  <si>
    <t>Rini Wahyuningsih,S.Pd</t>
  </si>
  <si>
    <t>Malang, 12-10-1973</t>
  </si>
  <si>
    <t>197310122008012005</t>
  </si>
  <si>
    <t>19731012 200801 2 005</t>
  </si>
  <si>
    <t>Bahasa Jepang</t>
  </si>
  <si>
    <t>2344751653300053</t>
  </si>
  <si>
    <t>01/11/2033</t>
  </si>
  <si>
    <t>11056817010120</t>
  </si>
  <si>
    <t>12/10/2011</t>
  </si>
  <si>
    <t>111701341001</t>
  </si>
  <si>
    <t>Jl. Diran 65 RT. 4 / RW. 1 Sisir Kota Batu</t>
  </si>
  <si>
    <t>081333473115</t>
  </si>
  <si>
    <t>riniwahyuningsih493@yahoo.co.id</t>
  </si>
  <si>
    <t>821.3/276/SK/422.024/2008</t>
  </si>
  <si>
    <t>821.3/057/422.203/2009</t>
  </si>
  <si>
    <t>Minarti</t>
  </si>
  <si>
    <t>Yusuf Suryobroto</t>
  </si>
  <si>
    <t>197402132000031001</t>
  </si>
  <si>
    <t>254337454652000</t>
  </si>
  <si>
    <t>0402055189</t>
  </si>
  <si>
    <t>3579015210730001</t>
  </si>
  <si>
    <t>081334473115</t>
  </si>
  <si>
    <t>Dewi Insyasiska, M.Pd</t>
  </si>
  <si>
    <t>Malang, 23-08-1978</t>
  </si>
  <si>
    <t>197808232006042029</t>
  </si>
  <si>
    <t>19780823 200604 2 029</t>
  </si>
  <si>
    <t>01/10/2010</t>
  </si>
  <si>
    <t>1155756648300003</t>
  </si>
  <si>
    <t>01/09/2038</t>
  </si>
  <si>
    <t>16056819010036</t>
  </si>
  <si>
    <t>28/12/2017</t>
  </si>
  <si>
    <t>171901100172</t>
  </si>
  <si>
    <t xml:space="preserve">Jl. Noto Joyo 125  RT. 03 / RW. 01 Tegalgondo Karangploso Malang </t>
  </si>
  <si>
    <t>Gondang</t>
  </si>
  <si>
    <t>Tegalgondo</t>
  </si>
  <si>
    <t>081803805848</t>
  </si>
  <si>
    <t>desysca@yahoo.com</t>
  </si>
  <si>
    <t>813.3 / 005 / SK / 422.024 / 2006</t>
  </si>
  <si>
    <t>821.13 / 012 / 422.024 / 2008</t>
  </si>
  <si>
    <t>823.3/060/SK/422.203/2010</t>
  </si>
  <si>
    <t>13 Oktober 2010</t>
  </si>
  <si>
    <t>Chandra Adhi Cahyanto</t>
  </si>
  <si>
    <t>570731976657000</t>
  </si>
  <si>
    <t>0402144629</t>
  </si>
  <si>
    <t>3507236308780004</t>
  </si>
  <si>
    <t>Drs.Solikin, M.Pd.I</t>
  </si>
  <si>
    <t>Malang, 11-04-1963</t>
  </si>
  <si>
    <t>196304112007011008</t>
  </si>
  <si>
    <t>19630411 200701 1 008</t>
  </si>
  <si>
    <t>4436741644200003</t>
  </si>
  <si>
    <t>01/05/2023</t>
  </si>
  <si>
    <t>10056812720052</t>
  </si>
  <si>
    <t>25/10/2010</t>
  </si>
  <si>
    <t>101440382033</t>
  </si>
  <si>
    <t>Jl. Raya Dadaprejo No. 162 RT. 04 / RW. 08 Dadaprejo Junrejo Batu</t>
  </si>
  <si>
    <t>08125205233</t>
  </si>
  <si>
    <t>solikinsmuba@gmail.com</t>
  </si>
  <si>
    <t>813.3/318/SK/422.024/2007</t>
  </si>
  <si>
    <t>Wiji Utami</t>
  </si>
  <si>
    <t>878675594628000</t>
  </si>
  <si>
    <t>0402017481</t>
  </si>
  <si>
    <t>3579031104630001</t>
  </si>
  <si>
    <t>Anas Bachtiar, S.Pd.</t>
  </si>
  <si>
    <t>Malang, 16 Juli 1984</t>
  </si>
  <si>
    <t>198407162009031005</t>
  </si>
  <si>
    <t>19840716 200903 1 005</t>
  </si>
  <si>
    <t>2048762664110053</t>
  </si>
  <si>
    <t>01/08/2044</t>
  </si>
  <si>
    <t>Rogonoto Timur 77 RT.3 / RW. 01 Singosari Kab. Malang</t>
  </si>
  <si>
    <t>Kebon Agung</t>
  </si>
  <si>
    <t>Tamanharjo</t>
  </si>
  <si>
    <t>081333321217</t>
  </si>
  <si>
    <t>mister.anas@gmail.com</t>
  </si>
  <si>
    <t>813.3/0146/SK/422.402/2009</t>
  </si>
  <si>
    <t>Diah Astuti</t>
  </si>
  <si>
    <t>Nia Mardiana</t>
  </si>
  <si>
    <t>198508152011012015</t>
  </si>
  <si>
    <t>782435796657000</t>
  </si>
  <si>
    <t>0402109122</t>
  </si>
  <si>
    <t>3507241601840008</t>
  </si>
  <si>
    <t>Aris Eko Kurniawan, M.Pd.</t>
  </si>
  <si>
    <t>Bojonegoro,14-02-1981</t>
  </si>
  <si>
    <t>198102142010011017</t>
  </si>
  <si>
    <t>19810214 201001 1 017</t>
  </si>
  <si>
    <t>4546759660200002</t>
  </si>
  <si>
    <t>01/03/2041</t>
  </si>
  <si>
    <t>14056818010328</t>
  </si>
  <si>
    <t>10/10/2014</t>
  </si>
  <si>
    <t>141801796002</t>
  </si>
  <si>
    <t>Jl. Simpang Wijaya No 1 Kel.Pagetan Kec. Singosari Kab. Malang</t>
  </si>
  <si>
    <t>Pagentan</t>
  </si>
  <si>
    <t>08563569757</t>
  </si>
  <si>
    <t>arrhyz@gmail.com</t>
  </si>
  <si>
    <t>813.3/90/SK/422.203/2010</t>
  </si>
  <si>
    <t>10 Maret 2010</t>
  </si>
  <si>
    <t>821.13/70/422.203/2011</t>
  </si>
  <si>
    <t>1 Desember 2011</t>
  </si>
  <si>
    <t>01/01/2012</t>
  </si>
  <si>
    <t>821.2/626/204/2018</t>
  </si>
  <si>
    <t>10 April 2018</t>
  </si>
  <si>
    <t>Evi Desiana</t>
  </si>
  <si>
    <t>672221066657000</t>
  </si>
  <si>
    <t>0402140101</t>
  </si>
  <si>
    <t>3507211402810005</t>
  </si>
  <si>
    <t>Nenni Setyo Utami, ST</t>
  </si>
  <si>
    <t>Malang,12-03-1975</t>
  </si>
  <si>
    <t>197503122010012013</t>
  </si>
  <si>
    <t>19750312 201001 2 013</t>
  </si>
  <si>
    <t>01/04/2018</t>
  </si>
  <si>
    <t>7644753654300012</t>
  </si>
  <si>
    <t>01/04/2035</t>
  </si>
  <si>
    <t>08051932011053</t>
  </si>
  <si>
    <t>084426067006</t>
  </si>
  <si>
    <t>Pondok Blimbing Indah D 5 No 23</t>
  </si>
  <si>
    <t>Polowijen</t>
  </si>
  <si>
    <t>Kec. Blimbing</t>
  </si>
  <si>
    <t>082155670857</t>
  </si>
  <si>
    <t>nenigierry@gmail.com</t>
  </si>
  <si>
    <t>813.3/268/SK/422.203/2010</t>
  </si>
  <si>
    <t>823.3/413/204/2018</t>
  </si>
  <si>
    <t>28 Februari 2018</t>
  </si>
  <si>
    <t>821.2/117/204/2018</t>
  </si>
  <si>
    <t>17 Januari 2018</t>
  </si>
  <si>
    <t>Sulies Setyowati</t>
  </si>
  <si>
    <t>Imam Tarmudi</t>
  </si>
  <si>
    <t>672221082652000</t>
  </si>
  <si>
    <t>0402140321</t>
  </si>
  <si>
    <t>3573015203750006</t>
  </si>
  <si>
    <t>Any Novitasari, S.Pd.</t>
  </si>
  <si>
    <t>Kediri,21-11-1986</t>
  </si>
  <si>
    <t>198611212010012014</t>
  </si>
  <si>
    <t>19861121 201001 2 014</t>
  </si>
  <si>
    <t>1453764665300003</t>
  </si>
  <si>
    <t>01/12/2046</t>
  </si>
  <si>
    <t>14056815710102</t>
  </si>
  <si>
    <t>141571768002</t>
  </si>
  <si>
    <t>Jl. Erlangga 23 Ds. Ngadirejo RT. 002 / RW. 010 Kec. Kota Kediri</t>
  </si>
  <si>
    <t>Gogorante</t>
  </si>
  <si>
    <t>Kec. Ngasem</t>
  </si>
  <si>
    <t>081359268978</t>
  </si>
  <si>
    <t>zakurabiyori@gmail.com</t>
  </si>
  <si>
    <t>813.3/300/SK/422.203/2010</t>
  </si>
  <si>
    <t>821.2/44/SK/422.203/2012</t>
  </si>
  <si>
    <t>26 September 2012</t>
  </si>
  <si>
    <t>672221041655000</t>
  </si>
  <si>
    <t>0402140097</t>
  </si>
  <si>
    <t>3506256111860001</t>
  </si>
  <si>
    <t>085746536537</t>
  </si>
  <si>
    <t>Uum Willatifa, S.Pd.</t>
  </si>
  <si>
    <t>Malang, 22 Oktober 1963</t>
  </si>
  <si>
    <t>196310222007012006</t>
  </si>
  <si>
    <t>19631022 200701 2 006</t>
  </si>
  <si>
    <t>PKN</t>
  </si>
  <si>
    <t>7354741641300003</t>
  </si>
  <si>
    <t>11056820410113</t>
  </si>
  <si>
    <t>112041278002</t>
  </si>
  <si>
    <t>Jl. Bukit Berbunga No. 257 Sidomulyo Batu</t>
  </si>
  <si>
    <t>085772002229</t>
  </si>
  <si>
    <t>813.3/371/SK/422.024/2007</t>
  </si>
  <si>
    <t>Narmiah</t>
  </si>
  <si>
    <t>774993000628000</t>
  </si>
  <si>
    <t>0402022728</t>
  </si>
  <si>
    <t>3579016210630001</t>
  </si>
  <si>
    <t>Distri Adi Setiawan, S.S</t>
  </si>
  <si>
    <t>Malang, 14-12-1983</t>
  </si>
  <si>
    <t>198312142011011005</t>
  </si>
  <si>
    <t>19831214 201101 1 005</t>
  </si>
  <si>
    <t>Penata Muda, III/a</t>
  </si>
  <si>
    <t>01/01/2011</t>
  </si>
  <si>
    <t>0546761663200033</t>
  </si>
  <si>
    <t>01/01/2044</t>
  </si>
  <si>
    <t>16056815610013</t>
  </si>
  <si>
    <t>161561139060</t>
  </si>
  <si>
    <t>Griya Permata Alam HR. 11 RT. 03 / RW. 11 Ngijo Karangploso Kab Malang</t>
  </si>
  <si>
    <t>Watugede</t>
  </si>
  <si>
    <t>081335098499</t>
  </si>
  <si>
    <t>dis3adi@gmail.com</t>
  </si>
  <si>
    <t>813.3/36/SK/422.203/2011</t>
  </si>
  <si>
    <t>11 Februari 2011</t>
  </si>
  <si>
    <t>813.3/53/SK/422.203/2012</t>
  </si>
  <si>
    <t>3 Desember 2012</t>
  </si>
  <si>
    <t>01/01/2013</t>
  </si>
  <si>
    <t>01/4/2020</t>
  </si>
  <si>
    <t>821.2/25/SK/422.203/2014</t>
  </si>
  <si>
    <t>1 April 2014</t>
  </si>
  <si>
    <t>Endah Mila Amiati</t>
  </si>
  <si>
    <t>352732085652000</t>
  </si>
  <si>
    <t>0402152541</t>
  </si>
  <si>
    <t>3573011412830005</t>
  </si>
  <si>
    <t>Ardianto, S.Pd.</t>
  </si>
  <si>
    <t>Sidoarjo, 08-07-1974</t>
  </si>
  <si>
    <t>197407082010011008</t>
  </si>
  <si>
    <t>19740708 201001 1 008</t>
  </si>
  <si>
    <t>Pend. Olahraga</t>
  </si>
  <si>
    <t>2040752656300003</t>
  </si>
  <si>
    <t>01/082034</t>
  </si>
  <si>
    <t>07056822000003</t>
  </si>
  <si>
    <t>22/04/2008</t>
  </si>
  <si>
    <t>Kresten/Protestan</t>
  </si>
  <si>
    <t>Jl. Darsono Gg. XII No. 25 RT. 007/RW.010 Ngaglik Batu</t>
  </si>
  <si>
    <t>Ngalik</t>
  </si>
  <si>
    <t>081336184769</t>
  </si>
  <si>
    <t>813.3/330/SK/422.203/2010</t>
  </si>
  <si>
    <t>01 Desember 2011</t>
  </si>
  <si>
    <t>Hartatik</t>
  </si>
  <si>
    <t>Tri Yanti Yuliastuti</t>
  </si>
  <si>
    <t>Guru</t>
  </si>
  <si>
    <t>571977362628000</t>
  </si>
  <si>
    <t>3579010807740001</t>
  </si>
  <si>
    <t>Amandus Gabhe Jao, S.S</t>
  </si>
  <si>
    <t>Doberako, 10-02-1970</t>
  </si>
  <si>
    <t>197002102009031001</t>
  </si>
  <si>
    <t>19700210 200903 1 001</t>
  </si>
  <si>
    <t>III/a</t>
  </si>
  <si>
    <t>Pend. Agama Katolik</t>
  </si>
  <si>
    <t>1542748651200022</t>
  </si>
  <si>
    <t>01/03/2030</t>
  </si>
  <si>
    <t>12056813020030</t>
  </si>
  <si>
    <t>01/11/2012</t>
  </si>
  <si>
    <t>121302546002</t>
  </si>
  <si>
    <t>Katholik</t>
  </si>
  <si>
    <t>Jl. Trunojoyo I Gg. Kemuning No. 12 Songgokerto Batu</t>
  </si>
  <si>
    <t>Bandungrejosari</t>
  </si>
  <si>
    <t>Kec. Sukun</t>
  </si>
  <si>
    <t>081334255393</t>
  </si>
  <si>
    <t>amandus70gabhejao@yahoo.com</t>
  </si>
  <si>
    <t>813.3/0285/SK/422.402/2009</t>
  </si>
  <si>
    <t>Sabina Sada</t>
  </si>
  <si>
    <t>Jumiati</t>
  </si>
  <si>
    <t>196801272008012009</t>
  </si>
  <si>
    <t>Ya</t>
  </si>
  <si>
    <t>087330056623000</t>
  </si>
  <si>
    <t>0402115556</t>
  </si>
  <si>
    <t>3573041002700001</t>
  </si>
  <si>
    <t>Suhariyanti, S.Sos, M.Sos</t>
  </si>
  <si>
    <t>Malang,09-11-1974</t>
  </si>
  <si>
    <t>197411092014122001</t>
  </si>
  <si>
    <t>19741109 201412 2 001</t>
  </si>
  <si>
    <t>01/03/2016</t>
  </si>
  <si>
    <t>01/12/2014</t>
  </si>
  <si>
    <t>Antropologi</t>
  </si>
  <si>
    <t>2441752654300053</t>
  </si>
  <si>
    <t>01/12/2034</t>
  </si>
  <si>
    <t>16056821510413</t>
  </si>
  <si>
    <t>27/12/2016</t>
  </si>
  <si>
    <t>162151100027</t>
  </si>
  <si>
    <t>Jl. Kedawung IX A/18 RT. 002 / RW. 006 Lowokwaru KotaMalang</t>
  </si>
  <si>
    <t>Tulus Rejo</t>
  </si>
  <si>
    <t>08125298230</t>
  </si>
  <si>
    <t>rezarizqy2009@yahoo.com</t>
  </si>
  <si>
    <t>813.3/02/SK/422.203/2015</t>
  </si>
  <si>
    <t xml:space="preserve">30 Januari 2015 </t>
  </si>
  <si>
    <t>821.13/07/SK/422.203/2016</t>
  </si>
  <si>
    <t>18 Pebruari 2016</t>
  </si>
  <si>
    <t>18 Februari 2016</t>
  </si>
  <si>
    <t>821.2/4700/204/2019</t>
  </si>
  <si>
    <t>17 Oktober 2019</t>
  </si>
  <si>
    <t>Sutiami</t>
  </si>
  <si>
    <t>Olan Rijadi</t>
  </si>
  <si>
    <t>557852076652000</t>
  </si>
  <si>
    <t>0402217391</t>
  </si>
  <si>
    <t>3573054911740004</t>
  </si>
  <si>
    <t>083834791147</t>
  </si>
  <si>
    <t>Heny Nurmayanto, S.Sn</t>
  </si>
  <si>
    <t>Batu,12-01-1982</t>
  </si>
  <si>
    <t>198201122009031006</t>
  </si>
  <si>
    <t>19820112 200903 1 006</t>
  </si>
  <si>
    <t>5444760662200032</t>
  </si>
  <si>
    <t>01/02/2042</t>
  </si>
  <si>
    <t>16056821710428</t>
  </si>
  <si>
    <t>162171112785</t>
  </si>
  <si>
    <t>Jl. Gambir Anom No. 6 RT. 04 / RW. 02 Sumberejo Batu</t>
  </si>
  <si>
    <t>Sumberejo</t>
  </si>
  <si>
    <t>08563547479</t>
  </si>
  <si>
    <t>henynurmayanto@yahoo.com</t>
  </si>
  <si>
    <t>813.3/0193/sk/422.402/2009</t>
  </si>
  <si>
    <t>Arbaatiningsih</t>
  </si>
  <si>
    <t>Fairuz</t>
  </si>
  <si>
    <t>244641957628000</t>
  </si>
  <si>
    <t>0402115726</t>
  </si>
  <si>
    <t>3579011201820001</t>
  </si>
  <si>
    <t>Indah Herawati, S.Si</t>
  </si>
  <si>
    <t>Batu-Malang, 30-04-1980</t>
  </si>
  <si>
    <t>198004302010012006</t>
  </si>
  <si>
    <t>19800430 201001 2 006</t>
  </si>
  <si>
    <t>3336758660300005</t>
  </si>
  <si>
    <t>01/05/2040</t>
  </si>
  <si>
    <t>13056818010046</t>
  </si>
  <si>
    <t>02/12/2013</t>
  </si>
  <si>
    <t>131801971010</t>
  </si>
  <si>
    <t>Jl. Bromo Gg.II, N0 15 RT. 04 / RW. 12 Sisir Batu</t>
  </si>
  <si>
    <t>085646645524</t>
  </si>
  <si>
    <t>indah_herawatie@yahoo.com</t>
  </si>
  <si>
    <t>813.3/92/SK/422.203/2010</t>
  </si>
  <si>
    <t>Jumainah</t>
  </si>
  <si>
    <t>Sugianto</t>
  </si>
  <si>
    <t>0402133431</t>
  </si>
  <si>
    <t>3579017004800002</t>
  </si>
  <si>
    <t>085718140155</t>
  </si>
  <si>
    <t>Eko Prayudi, Lc</t>
  </si>
  <si>
    <t>Ponorogo, 09-12-1978</t>
  </si>
  <si>
    <t>197812092011011007</t>
  </si>
  <si>
    <t>19781209 201101 1 007</t>
  </si>
  <si>
    <t>4541756658110053</t>
  </si>
  <si>
    <t>01/01/2039</t>
  </si>
  <si>
    <t>Jl. Ikhwan Hadi Gg 5 No. 18 A RT. 03 / RW. 06 Ngaglik Batu</t>
  </si>
  <si>
    <t>08123389983</t>
  </si>
  <si>
    <t>exosmaba@gmail.com</t>
  </si>
  <si>
    <t>813.3/35/SK/422.203/2011</t>
  </si>
  <si>
    <t>821.13/53/SK/422.203/2012</t>
  </si>
  <si>
    <t>Fitria Damayanti</t>
  </si>
  <si>
    <t>198102082006042310</t>
  </si>
  <si>
    <t>453618456628000</t>
  </si>
  <si>
    <t>0402149850</t>
  </si>
  <si>
    <t>3579010912780004</t>
  </si>
  <si>
    <t>Nur Fadhilah, S.Pd</t>
  </si>
  <si>
    <t>Blitar, 15-05-1983</t>
  </si>
  <si>
    <t>198305152011011009</t>
  </si>
  <si>
    <t>19830515 201101 1 009</t>
  </si>
  <si>
    <t>6847761662120002</t>
  </si>
  <si>
    <t>01/06/2043</t>
  </si>
  <si>
    <t>18056881010018</t>
  </si>
  <si>
    <t>188101159297</t>
  </si>
  <si>
    <t>Griya Kebon Agung Indah Blok S-5 Kebonagung Kota Malang</t>
  </si>
  <si>
    <t>081332498873</t>
  </si>
  <si>
    <t>pakfadhil583@gmail.com</t>
  </si>
  <si>
    <t>813.3/33/SK/422.203/2011</t>
  </si>
  <si>
    <t>Ovi Vaulina</t>
  </si>
  <si>
    <t>452039464628000</t>
  </si>
  <si>
    <t>0402153237</t>
  </si>
  <si>
    <t>3505031505830003</t>
  </si>
  <si>
    <t>08113279791</t>
  </si>
  <si>
    <t>Lailatul Muniroh, S.S</t>
  </si>
  <si>
    <t>Batu, 28-02-1985</t>
  </si>
  <si>
    <t>NON PNS</t>
  </si>
  <si>
    <t>17/07/2006</t>
  </si>
  <si>
    <t>Bhs. Jepang</t>
  </si>
  <si>
    <t>2560763664300052</t>
  </si>
  <si>
    <t>Jl. Wukir RT. 03/RW. 05 Temas Batu</t>
  </si>
  <si>
    <t xml:space="preserve">Temas </t>
  </si>
  <si>
    <t>028578553587</t>
  </si>
  <si>
    <t>800/307/422.012.01.I/2006</t>
  </si>
  <si>
    <t>0402280565</t>
  </si>
  <si>
    <t>3579016802850005</t>
  </si>
  <si>
    <t>Diana Irawati,S.Pd</t>
  </si>
  <si>
    <t>Sumenep, 10-09-1981</t>
  </si>
  <si>
    <t>Prakarya</t>
  </si>
  <si>
    <t>1242759663300003</t>
  </si>
  <si>
    <t>Perum Junrejo Regency A No. 5, RT. 04/RW. 08 Junrejo Batu</t>
  </si>
  <si>
    <t>081247239608</t>
  </si>
  <si>
    <t>800/393/422.012.01.I/2007</t>
  </si>
  <si>
    <t>23 Juli 2007</t>
  </si>
  <si>
    <t>0402249536</t>
  </si>
  <si>
    <t>3507225009810002</t>
  </si>
  <si>
    <t>Ahmad Muhajir RH, S.Pd</t>
  </si>
  <si>
    <t>Malang, 26-08-1982</t>
  </si>
  <si>
    <t>22/05/2007</t>
  </si>
  <si>
    <t>6158760662200013</t>
  </si>
  <si>
    <t>Jl. Gajayana 535 RT. 07/RW. 01 Lowokwaru Malang</t>
  </si>
  <si>
    <t>Gajayana</t>
  </si>
  <si>
    <t>Lowokwaru</t>
  </si>
  <si>
    <t>081931895675</t>
  </si>
  <si>
    <t>0402249510</t>
  </si>
  <si>
    <t>3573052608820002</t>
  </si>
  <si>
    <t>Suwil Roidah, S.Pd</t>
  </si>
  <si>
    <t>Batu, 12-07-1984</t>
  </si>
  <si>
    <t>01/07/2011</t>
  </si>
  <si>
    <t>4044762663130203</t>
  </si>
  <si>
    <t>Jl. Purwosenjoto RT. 05/RW. 04 Bumiajo Batu</t>
  </si>
  <si>
    <t>085749680068</t>
  </si>
  <si>
    <t>800/503/422.012.01.I/2011</t>
  </si>
  <si>
    <t>9 Juli 2011</t>
  </si>
  <si>
    <t>0402249188</t>
  </si>
  <si>
    <t>3579035207840001</t>
  </si>
  <si>
    <t>Dwi Subagja, S.Pd</t>
  </si>
  <si>
    <t>Blitar, 08-09-1969</t>
  </si>
  <si>
    <t>Karawitan</t>
  </si>
  <si>
    <t>Jl. Da'ib RT. 07/RW/ 07 Tlekung Junrejo Batu</t>
  </si>
  <si>
    <t>Tlekung</t>
  </si>
  <si>
    <t>081249732100</t>
  </si>
  <si>
    <t>5 Oktober 2011</t>
  </si>
  <si>
    <t>0402220147</t>
  </si>
  <si>
    <t>3505110809690001</t>
  </si>
  <si>
    <t>Defri Mustika Rani, M.Pd.</t>
  </si>
  <si>
    <t>Madiun, 28-04-1989</t>
  </si>
  <si>
    <t>04/09/2013</t>
  </si>
  <si>
    <t>Bahasa jawa</t>
  </si>
  <si>
    <t>9760767668130182</t>
  </si>
  <si>
    <t>Jl. TVRI Krajan RT. 02 / RW. 03 Oro Oro Ombo Batu</t>
  </si>
  <si>
    <t>085856767372</t>
  </si>
  <si>
    <t>800/296/422.102.01.I/2013</t>
  </si>
  <si>
    <t>4 September2013</t>
  </si>
  <si>
    <t>0402281871</t>
  </si>
  <si>
    <t>3579016804890004</t>
  </si>
  <si>
    <t>Pinten Setyowibowo, S.Pd.</t>
  </si>
  <si>
    <t>Malang, 20-11-1965</t>
  </si>
  <si>
    <t>15/07/2014</t>
  </si>
  <si>
    <t>Kesenian</t>
  </si>
  <si>
    <t>1452743646110053</t>
  </si>
  <si>
    <t>13056821710109</t>
  </si>
  <si>
    <t>15/10/2013</t>
  </si>
  <si>
    <t>132171648002</t>
  </si>
  <si>
    <t>Jl. Arjuno 30 RT.02 / RW. 08 Sisir Batu</t>
  </si>
  <si>
    <t>085100180841</t>
  </si>
  <si>
    <t>800/622/422.102.01.I/2014</t>
  </si>
  <si>
    <t>15 Juli 2014</t>
  </si>
  <si>
    <t>0402123311</t>
  </si>
  <si>
    <t>3573022011650006</t>
  </si>
  <si>
    <t xml:space="preserve">Mardiyah Putri Astuti, M.Pd. </t>
  </si>
  <si>
    <t>Malang, 21-03-1990</t>
  </si>
  <si>
    <t>1653768669130142</t>
  </si>
  <si>
    <t>Jl. Diponegoro 119, RT. 05/RW. 2 Sisir Batu</t>
  </si>
  <si>
    <t>081230937669</t>
  </si>
  <si>
    <t>0402282541</t>
  </si>
  <si>
    <t>3579016103900005</t>
  </si>
  <si>
    <t>Ribkha Ayu Adiningtyas, S.Pd.</t>
  </si>
  <si>
    <t>Batu, 22-03-1992</t>
  </si>
  <si>
    <t>4654770671130102</t>
  </si>
  <si>
    <t>Krajan RT. 07/RW. 03 Pujon Malang</t>
  </si>
  <si>
    <t>Pujon</t>
  </si>
  <si>
    <t>081283038032</t>
  </si>
  <si>
    <t>0402282533</t>
  </si>
  <si>
    <t>3507266203920003</t>
  </si>
  <si>
    <t>Amitha Mustika Damayanti, S.Pd</t>
  </si>
  <si>
    <t>Batu, 19-02-1992</t>
  </si>
  <si>
    <t>0551770671130132</t>
  </si>
  <si>
    <t>Jl. Raya Junrejo 17, RT. 03 / RW. 01 Junrejo</t>
  </si>
  <si>
    <t>082187271650</t>
  </si>
  <si>
    <t>0402282509</t>
  </si>
  <si>
    <t>3579035902920002</t>
  </si>
  <si>
    <t>Lailaus Naeni, S.Pd</t>
  </si>
  <si>
    <t>Malang, 07-05-1990</t>
  </si>
  <si>
    <t>27/07/2015</t>
  </si>
  <si>
    <t>Bhs. Jawa</t>
  </si>
  <si>
    <t>Jl. Ceamara Kipas 118 RT.01/RW.01 Sidomulyo Batu</t>
  </si>
  <si>
    <t>08990334698</t>
  </si>
  <si>
    <t>800/1371/422.102.01.I/2015</t>
  </si>
  <si>
    <t>27 Juli 2015</t>
  </si>
  <si>
    <t>0402282517</t>
  </si>
  <si>
    <t>3579014705900004</t>
  </si>
  <si>
    <t>Aviv Ardhillah Risqa, S.Pd</t>
  </si>
  <si>
    <t>Batu, 04-12-1989</t>
  </si>
  <si>
    <t>03/07/2017</t>
  </si>
  <si>
    <t>8536767668130183</t>
  </si>
  <si>
    <t>Jl. Dewi Sartika RT. 02/RW. 09 Temas Batu</t>
  </si>
  <si>
    <t>085259854034</t>
  </si>
  <si>
    <t>800/1024/422.102.01.I/2017</t>
  </si>
  <si>
    <t>3 Juli 2017</t>
  </si>
  <si>
    <t>0402282703</t>
  </si>
  <si>
    <t>3579010412890001</t>
  </si>
  <si>
    <t>Yeni Tri Wulandari, S.Pd</t>
  </si>
  <si>
    <t>Batu, 05-01-1983</t>
  </si>
  <si>
    <t>4437761662230192</t>
  </si>
  <si>
    <t>Jl. Diponegoro 115, RT. 07/RW. 01 Sisir Batu</t>
  </si>
  <si>
    <t>081213716092</t>
  </si>
  <si>
    <t>0402250941</t>
  </si>
  <si>
    <t>3201134501830002</t>
  </si>
  <si>
    <t>Panji Penatas, S.Pd.</t>
  </si>
  <si>
    <t>Malang, 08-06-1990</t>
  </si>
  <si>
    <t>04/09/2017</t>
  </si>
  <si>
    <t>Jl. Patimura Gg. VI No. 19 RT. 01/ RW. 07 Temas Batu</t>
  </si>
  <si>
    <t>0895337139132</t>
  </si>
  <si>
    <t>800/ 1024 /101.6.10.26/2017</t>
  </si>
  <si>
    <t>0402</t>
  </si>
  <si>
    <t>3579010806900001</t>
  </si>
  <si>
    <t>Restu Lenny Medikawati, S.Pd.</t>
  </si>
  <si>
    <t>Malang, 17 Agustus 1996</t>
  </si>
  <si>
    <t>02/01/2020</t>
  </si>
  <si>
    <t>Bahasa Jawa</t>
  </si>
  <si>
    <t>Dusun Krajan - Giripurno Kec. Bumiaji Kota Batu</t>
  </si>
  <si>
    <t>0895348336518</t>
  </si>
  <si>
    <t>restulenny231@gmail.com</t>
  </si>
  <si>
    <t>800/15/101.6.10.26/2020</t>
  </si>
  <si>
    <t>2 Januari 2020</t>
  </si>
  <si>
    <t>0402338831</t>
  </si>
  <si>
    <t>5579025708960003</t>
  </si>
  <si>
    <t>Latih Yusdiansah, S.Pd.</t>
  </si>
  <si>
    <t>Jombang, 13 Juli 1990</t>
  </si>
  <si>
    <t>01/07/2020</t>
  </si>
  <si>
    <t>Adm. Pend.</t>
  </si>
  <si>
    <t>Seni Musik</t>
  </si>
  <si>
    <t>Wangkuk RT. 002/RW. 002 Warukkalong Kec. Kwadungan</t>
  </si>
  <si>
    <t>Wangkuk</t>
  </si>
  <si>
    <t>Warukkalong</t>
  </si>
  <si>
    <t>Kwadungan</t>
  </si>
  <si>
    <t>0819397100234</t>
  </si>
  <si>
    <t>800/732/101.6.10.26/2020</t>
  </si>
  <si>
    <t>1 Juli 2020</t>
  </si>
  <si>
    <t>Fera Irawati, S.Pd.</t>
  </si>
  <si>
    <t>Malang, 23-02-1981</t>
  </si>
  <si>
    <t>198102232005012006</t>
  </si>
  <si>
    <t>19810223 200501 2 006</t>
  </si>
  <si>
    <t>Bendahara BOS</t>
  </si>
  <si>
    <t>5657000000000103</t>
  </si>
  <si>
    <t>01/03/2039</t>
  </si>
  <si>
    <t>Jl. Dewi Sartika 3H no. 33 RT. 9 / RW. 10 Temas Batu</t>
  </si>
  <si>
    <t>085736321339</t>
  </si>
  <si>
    <t>813.3/181/422.024/2005</t>
  </si>
  <si>
    <t>821.13/186/SK/422.024/2006</t>
  </si>
  <si>
    <t>0402148667</t>
  </si>
  <si>
    <t>3579016302810005</t>
  </si>
  <si>
    <t>Sri Mulyati, A.Md.Pd</t>
  </si>
  <si>
    <t>Malang, 14-09-1964</t>
  </si>
  <si>
    <t>196409142008012004</t>
  </si>
  <si>
    <t>19640914 200801 2 004</t>
  </si>
  <si>
    <t>D3</t>
  </si>
  <si>
    <t>Laboran Kimia</t>
  </si>
  <si>
    <t>2246742643300043</t>
  </si>
  <si>
    <t>01/10/2022</t>
  </si>
  <si>
    <t>Jl. Dewi Sartika III B/RT 08/RW 09 Temas Kota Batu</t>
  </si>
  <si>
    <t>085649669879</t>
  </si>
  <si>
    <t>813.2/013/SK/422.402/2009</t>
  </si>
  <si>
    <t>22 April 2009</t>
  </si>
  <si>
    <t>821.17/038/SK/422.203/2010</t>
  </si>
  <si>
    <t>27 Mei 2010</t>
  </si>
  <si>
    <t>01/06/2010</t>
  </si>
  <si>
    <t>0402140071</t>
  </si>
  <si>
    <t>3579015409640002</t>
  </si>
  <si>
    <t>Hasdian Lestyarini, A.Md</t>
  </si>
  <si>
    <t>Banyuwangi, 14-09-1968</t>
  </si>
  <si>
    <t>196809142010012001</t>
  </si>
  <si>
    <t>19680914 201001 2 001</t>
  </si>
  <si>
    <t>Pengadministrasi Kurikulum</t>
  </si>
  <si>
    <t>4246746651300003</t>
  </si>
  <si>
    <t>01/10/2026</t>
  </si>
  <si>
    <t>Jl. Pakis No. 31 RT. 02 / RW. 07 Oro Oro Ombo Batu</t>
  </si>
  <si>
    <t>081216358010</t>
  </si>
  <si>
    <t>813.2/43/SK/422.402/2010</t>
  </si>
  <si>
    <t>24 Februari 2010</t>
  </si>
  <si>
    <t>821.12/70/422.203/2011</t>
  </si>
  <si>
    <t xml:space="preserve">823.3/190/204/2018, </t>
  </si>
  <si>
    <t>29 Januari 2018</t>
  </si>
  <si>
    <t>0402140402</t>
  </si>
  <si>
    <t>3579015409680004</t>
  </si>
  <si>
    <t>Yanto, S.Mat.</t>
  </si>
  <si>
    <t>Malang, 30-10-1985</t>
  </si>
  <si>
    <t>198510302006041010</t>
  </si>
  <si>
    <t>19851030 200604 1 010</t>
  </si>
  <si>
    <t>Pengatur Muda Tk. I, II/d</t>
  </si>
  <si>
    <t>II/d</t>
  </si>
  <si>
    <t>Operator Dapodik</t>
  </si>
  <si>
    <t>5657000000000105</t>
  </si>
  <si>
    <t>01/11/2043</t>
  </si>
  <si>
    <t>Jl. Wukir Gg. IV RT. 04 / RW. 11 Temas Bat</t>
  </si>
  <si>
    <t>085755733011</t>
  </si>
  <si>
    <t>813.2/073/SK/422.024/2006</t>
  </si>
  <si>
    <t>821.12/012/422.024/2008</t>
  </si>
  <si>
    <t>823.2/189/204/2018</t>
  </si>
  <si>
    <t>0402089725</t>
  </si>
  <si>
    <t>3579013010850001</t>
  </si>
  <si>
    <t>Mohamad Tamtowi, S.E.</t>
  </si>
  <si>
    <t>Malang, 22-09-1966</t>
  </si>
  <si>
    <t>196609222010011001</t>
  </si>
  <si>
    <t>19660922 201001 1 001</t>
  </si>
  <si>
    <t>Pengatur, II/c</t>
  </si>
  <si>
    <t>II/c</t>
  </si>
  <si>
    <t>Pengadministrasi Sarpras</t>
  </si>
  <si>
    <t>1254744649200003</t>
  </si>
  <si>
    <t>01/10/2024</t>
  </si>
  <si>
    <t>Jl. Kenangan No. 2 RT. 03 / RW. 04 Dadaprejo Junrejo Batu</t>
  </si>
  <si>
    <t>085804037122</t>
  </si>
  <si>
    <t>813.2/39/SK/422.203/2010</t>
  </si>
  <si>
    <t>0402140453</t>
  </si>
  <si>
    <t>3579032209660002</t>
  </si>
  <si>
    <t>Muhaimin, S.E.</t>
  </si>
  <si>
    <t>Malang, 10-10-1978</t>
  </si>
  <si>
    <t>197810102009031002</t>
  </si>
  <si>
    <t>19781010 200903 1 002</t>
  </si>
  <si>
    <t>Pengadministrasi Kepegawaian</t>
  </si>
  <si>
    <t>7342756659200013</t>
  </si>
  <si>
    <t>01/11/2036</t>
  </si>
  <si>
    <t>Jl. Kawi No. 46/61 RT. 06 /RW. 06 Sisir Batu</t>
  </si>
  <si>
    <t>081235025515</t>
  </si>
  <si>
    <t>813.2/0115/SK/422.402/2009</t>
  </si>
  <si>
    <t>821.12/173/422.203/2011</t>
  </si>
  <si>
    <t>0402140143</t>
  </si>
  <si>
    <t>3579011010780010</t>
  </si>
  <si>
    <t>Sholikhin</t>
  </si>
  <si>
    <t>Malang, 24-05-1966</t>
  </si>
  <si>
    <t>196605242010011002</t>
  </si>
  <si>
    <t>19660524 201001 1 002</t>
  </si>
  <si>
    <t>SMA</t>
  </si>
  <si>
    <t>Laboran Fisika dan Kebersihan</t>
  </si>
  <si>
    <t>2442757658200022</t>
  </si>
  <si>
    <t>01/06/2024</t>
  </si>
  <si>
    <t>Jl. Lahor RT 04 RW 13 Desa Pesanggrahan Kota Batu</t>
  </si>
  <si>
    <t>085335680765</t>
  </si>
  <si>
    <t>813.2/38/SK/422.203/2010</t>
  </si>
  <si>
    <t>0402133473</t>
  </si>
  <si>
    <t>3579012405660002</t>
  </si>
  <si>
    <t>Rositha Chaironi</t>
  </si>
  <si>
    <t>Batu, 21-07-1971</t>
  </si>
  <si>
    <t>197107212010012001</t>
  </si>
  <si>
    <t>19710721 201001 2 001</t>
  </si>
  <si>
    <t>9053749651300043</t>
  </si>
  <si>
    <t>01/08/2029</t>
  </si>
  <si>
    <t>081251416617</t>
  </si>
  <si>
    <t>813.2/61/SK/422.203/2010</t>
  </si>
  <si>
    <t>0402141000</t>
  </si>
  <si>
    <t>3579031610771004</t>
  </si>
  <si>
    <t>Sulisno, A.Md</t>
  </si>
  <si>
    <t>Malang, 01-10-1979</t>
  </si>
  <si>
    <t>197901102014121001</t>
  </si>
  <si>
    <t>19790110 201412 1 001</t>
  </si>
  <si>
    <t>Pengatur Muda Tk. I, II/b</t>
  </si>
  <si>
    <t>II/b</t>
  </si>
  <si>
    <t>01/03/2019</t>
  </si>
  <si>
    <t>Bendahara BPOPP</t>
  </si>
  <si>
    <t>6248759661200023</t>
  </si>
  <si>
    <t>01/11/2037</t>
  </si>
  <si>
    <t>Dusun Pandan no. 12A RT.01 / RW. 09 Pandanrejo Bumiaji Batu</t>
  </si>
  <si>
    <t>Pandanrejo</t>
  </si>
  <si>
    <t>087859542133</t>
  </si>
  <si>
    <t>813.2/02/SK/422.203/2015</t>
  </si>
  <si>
    <t>30 Januari 2015</t>
  </si>
  <si>
    <t>821.2/07/SK/422.203/2016</t>
  </si>
  <si>
    <t>01/01/2016</t>
  </si>
  <si>
    <t>823.2/1118/204/2019</t>
  </si>
  <si>
    <t>19 April 2019</t>
  </si>
  <si>
    <t>0402217499</t>
  </si>
  <si>
    <t>3579021001790006</t>
  </si>
  <si>
    <t>Andrias Budi Widodo</t>
  </si>
  <si>
    <t>Malang, 16-09-1981</t>
  </si>
  <si>
    <t>198109162014121001</t>
  </si>
  <si>
    <t>19810916 201412 1 001</t>
  </si>
  <si>
    <t>Operator Gaji, Operator Sibaku</t>
  </si>
  <si>
    <t>4856744647200032</t>
  </si>
  <si>
    <t>01/10/2039</t>
  </si>
  <si>
    <t>Jl. Samadi No. 5 RT. 05 / RW. 09 Pandanrejo Bumiaji Batu</t>
  </si>
  <si>
    <t>085646320665</t>
  </si>
  <si>
    <t>0402000889</t>
  </si>
  <si>
    <t>3579011609810003</t>
  </si>
  <si>
    <t>Heri Kristiawan</t>
  </si>
  <si>
    <t>Malang, 10-11-1967</t>
  </si>
  <si>
    <t>196711102008011020</t>
  </si>
  <si>
    <t>19671110 200801 1 020</t>
  </si>
  <si>
    <t>Pengatur Muda Tk.I, II/b</t>
  </si>
  <si>
    <t>Tenaga Kebersihan/Pertamanan</t>
  </si>
  <si>
    <t>0442745650200013</t>
  </si>
  <si>
    <t>01/12/2025</t>
  </si>
  <si>
    <t>Jl. Diran RT. 5 / RW. 2 Desa Sisir, Kec. Batu Kota Batu</t>
  </si>
  <si>
    <t>08989713781</t>
  </si>
  <si>
    <t>813.1/020/SK/422.402/2009</t>
  </si>
  <si>
    <t>823.2/1078/204/2020</t>
  </si>
  <si>
    <t>0402140283</t>
  </si>
  <si>
    <t>3579011011670003</t>
  </si>
  <si>
    <t>Rindy Antika Sari</t>
  </si>
  <si>
    <t>Malang, 02-05-1988</t>
  </si>
  <si>
    <t>01/12/2006</t>
  </si>
  <si>
    <t>SMK</t>
  </si>
  <si>
    <t>Pengadministrasi Persuratan</t>
  </si>
  <si>
    <t>1834766661300002</t>
  </si>
  <si>
    <t>Jl. Panderman No. 65 RT. 08/RW. 06 Sisir Batu</t>
  </si>
  <si>
    <t>081249903049</t>
  </si>
  <si>
    <t>0402249528</t>
  </si>
  <si>
    <t>3579014205880001</t>
  </si>
  <si>
    <t>Soleh</t>
  </si>
  <si>
    <t>Malang, 04-12-1979</t>
  </si>
  <si>
    <t>10/09/2007</t>
  </si>
  <si>
    <t>5536757660200013</t>
  </si>
  <si>
    <t>Jl. Utomorejo Gg. Tennes No. 6 RT. 02/RW. 03 Sisir Batu</t>
  </si>
  <si>
    <t>085784787643</t>
  </si>
  <si>
    <t>0402249277</t>
  </si>
  <si>
    <t>3579010412790001</t>
  </si>
  <si>
    <t>Hari Purnomo</t>
  </si>
  <si>
    <t>Malang, 12-12-1965</t>
  </si>
  <si>
    <t>03/12/2007</t>
  </si>
  <si>
    <t>STM</t>
  </si>
  <si>
    <t>3544743645200023</t>
  </si>
  <si>
    <t>Jl. Suropati RT. 05/RW.08 Pesanggrahan Batu</t>
  </si>
  <si>
    <t>082333533740</t>
  </si>
  <si>
    <t>0402249251</t>
  </si>
  <si>
    <t>3579011212650008</t>
  </si>
  <si>
    <t>Ngari</t>
  </si>
  <si>
    <t>Malang, 16-04-1973</t>
  </si>
  <si>
    <t>06/02/2008</t>
  </si>
  <si>
    <t>Petugas Keamanan/SATPAM</t>
  </si>
  <si>
    <t>7748751653200042</t>
  </si>
  <si>
    <t>Jl. Imam Bonjol Gg. III/56 RT. 04/RW. 01 Sisir Batu</t>
  </si>
  <si>
    <t>085101797471</t>
  </si>
  <si>
    <t>0402249269</t>
  </si>
  <si>
    <t>3579011604730002</t>
  </si>
  <si>
    <t>Dedik Rubianto</t>
  </si>
  <si>
    <t>Malang, 09-12-1978</t>
  </si>
  <si>
    <t>1541756668200003</t>
  </si>
  <si>
    <t>Jl. Diponegoro VIII/15 RT. 07/RW. 05 Sisir Batu</t>
  </si>
  <si>
    <t>085785798887</t>
  </si>
  <si>
    <t>0402249200</t>
  </si>
  <si>
    <t>3579010912780001</t>
  </si>
  <si>
    <t>Sulis Setiasih</t>
  </si>
  <si>
    <t>Malang, 07-01-1990</t>
  </si>
  <si>
    <t>21/07/2008</t>
  </si>
  <si>
    <t>5439768669300002</t>
  </si>
  <si>
    <t>Jl. KH. Agus Salim Gg. II/3 RT. 03/RW. 01 Sisir Batu</t>
  </si>
  <si>
    <t>085755229973</t>
  </si>
  <si>
    <t>0402249609</t>
  </si>
  <si>
    <t>3579014701900001</t>
  </si>
  <si>
    <t>Siti Nurlatifah</t>
  </si>
  <si>
    <t>Tulungagung, 03-05-1990</t>
  </si>
  <si>
    <t>24/07/2008</t>
  </si>
  <si>
    <t>Pengadministrasi Perpustakaan</t>
  </si>
  <si>
    <t>4835768669300002</t>
  </si>
  <si>
    <t>Jl. Dorowati 17A RT. 02/RW. 06 Sisir Batu</t>
  </si>
  <si>
    <t>081249001477</t>
  </si>
  <si>
    <t>0402248831</t>
  </si>
  <si>
    <t>3579014305900007</t>
  </si>
  <si>
    <t>Timbul Hariwibadi</t>
  </si>
  <si>
    <t>Malang, 20-04-1976</t>
  </si>
  <si>
    <t>01/08/2008</t>
  </si>
  <si>
    <t>3752754657110022</t>
  </si>
  <si>
    <t>Jl. KH. Agus Salim Gg. Sa'I RT. 03/ RW. 01 Sisir Batu</t>
  </si>
  <si>
    <t>081615477756</t>
  </si>
  <si>
    <t>0402249544</t>
  </si>
  <si>
    <t>3579012004760002</t>
  </si>
  <si>
    <t>Santo</t>
  </si>
  <si>
    <t>Malang, 18-07-1973</t>
  </si>
  <si>
    <t>01/02/2010</t>
  </si>
  <si>
    <t>Jl. Diran No. 26 RT. 04/RW. 01 Sisir Batu</t>
  </si>
  <si>
    <t>085806544949</t>
  </si>
  <si>
    <t>0402249285</t>
  </si>
  <si>
    <t>3579011807730002</t>
  </si>
  <si>
    <t>Untung Supriono Basuki</t>
  </si>
  <si>
    <t>Malang, 03-07-1980</t>
  </si>
  <si>
    <t>'085755229971</t>
  </si>
  <si>
    <t>0402249617</t>
  </si>
  <si>
    <t>3579010307800007</t>
  </si>
  <si>
    <t>Arif Afandi</t>
  </si>
  <si>
    <t>Malang, 08-09-1976</t>
  </si>
  <si>
    <t>14/07/2010</t>
  </si>
  <si>
    <t>3240754656200043</t>
  </si>
  <si>
    <t>Jl. Imam Bonjol II/25 RT. 05/RW. 01 Sisir Batu</t>
  </si>
  <si>
    <t>089693229670</t>
  </si>
  <si>
    <t>0402249501</t>
  </si>
  <si>
    <t>3579010809760002</t>
  </si>
  <si>
    <t>Indra Kurniawan</t>
  </si>
  <si>
    <t>Malang, 26-06-1983</t>
  </si>
  <si>
    <t>14/04/2011</t>
  </si>
  <si>
    <t>Jl. Diponegoro V/36 RT. 07/RW. 1 Sisir Batu</t>
  </si>
  <si>
    <t>081945523989</t>
  </si>
  <si>
    <t>0402249498</t>
  </si>
  <si>
    <t>3579012606830001</t>
  </si>
  <si>
    <t>Dwi Anang Wibowo</t>
  </si>
  <si>
    <t>Malang, 23-01-1990</t>
  </si>
  <si>
    <t>01/10/2012</t>
  </si>
  <si>
    <t>Jl. Lesti Utara RT. 08/RW. 03 Ngaglik Batu</t>
  </si>
  <si>
    <t>'085884722060</t>
  </si>
  <si>
    <t>0402281839</t>
  </si>
  <si>
    <t>3579012301900003</t>
  </si>
  <si>
    <t>Lukman Adi Kusdwianto</t>
  </si>
  <si>
    <t>Malang, 18-02-1979</t>
  </si>
  <si>
    <t>Dusun Dadapan RT.03 / RW. 04 Pandanrejo Bumiaji Batu</t>
  </si>
  <si>
    <t>081334553327</t>
  </si>
  <si>
    <t>0402281821</t>
  </si>
  <si>
    <t>3579021802790004</t>
  </si>
  <si>
    <t>Mochammad Hadi Muslimin</t>
  </si>
  <si>
    <t>Malang, 22-07-1981</t>
  </si>
  <si>
    <t>Teknisi, Laboran Komputer</t>
  </si>
  <si>
    <t>Jl. Diran 32 RT. 5 / RW. 1  Sisir,  Batu Kota Batu</t>
  </si>
  <si>
    <t>085749665765</t>
  </si>
  <si>
    <t>0402281910</t>
  </si>
  <si>
    <t>3579012207810002</t>
  </si>
  <si>
    <t>Niken Citra Resmi</t>
  </si>
  <si>
    <t>Malang, 26-08-1991</t>
  </si>
  <si>
    <t>02/01/2013</t>
  </si>
  <si>
    <t>Pengadministrasi Humas</t>
  </si>
  <si>
    <t>Jl. Palem Raja RT. 02/RW. 09 Sidomulyo</t>
  </si>
  <si>
    <t xml:space="preserve">Batu </t>
  </si>
  <si>
    <t>081331898180</t>
  </si>
  <si>
    <t>0402281863</t>
  </si>
  <si>
    <t>3579016608910004</t>
  </si>
  <si>
    <t>Zaenal Setyawahyudi</t>
  </si>
  <si>
    <t>Malang, 08-06-1968</t>
  </si>
  <si>
    <t>31/08/2013</t>
  </si>
  <si>
    <t>Pengadm. Kesiswaan dan Kebersihan</t>
  </si>
  <si>
    <t>Jl. Sawojajar V/55-B RT. 06/RW. 01 Kedungkandang Malang</t>
  </si>
  <si>
    <t>Sawojajar</t>
  </si>
  <si>
    <t>Kedungkandang</t>
  </si>
  <si>
    <t>081310661127</t>
  </si>
  <si>
    <t>0402281812</t>
  </si>
  <si>
    <t>3573030806680003</t>
  </si>
  <si>
    <t>Adi Prasetyo</t>
  </si>
  <si>
    <t>Malang, 10-05-1992</t>
  </si>
  <si>
    <t>SMP</t>
  </si>
  <si>
    <t>Jl. KH. Agus Salim  RT. 03/RW. 01 Sisir Batu</t>
  </si>
  <si>
    <t>082334629659</t>
  </si>
  <si>
    <t>0402281804</t>
  </si>
  <si>
    <t>3579011005920002</t>
  </si>
  <si>
    <t>Mochammad Efendi</t>
  </si>
  <si>
    <t>Malang, 01-05-1986</t>
  </si>
  <si>
    <t>29/08/2016</t>
  </si>
  <si>
    <t>KOPSIS dan Kebersihan</t>
  </si>
  <si>
    <t>Jl. KH. Agus Salim Gg. II/13 RT. 02/RW. 01 Sisir Batu</t>
  </si>
  <si>
    <t>081217230661</t>
  </si>
  <si>
    <t>0402281961</t>
  </si>
  <si>
    <t>3579010105860001</t>
  </si>
  <si>
    <t>Dinda Ainur Rachim,S.Pd</t>
  </si>
  <si>
    <t>Gresik,12- Oktober-1997</t>
  </si>
  <si>
    <t>p</t>
  </si>
  <si>
    <t>JL. Taman Nias NO 15 RT 05, RW 07 Randu Agung Kebomas, Gresik</t>
  </si>
  <si>
    <t>Gresik</t>
  </si>
  <si>
    <t>3525145210970001</t>
  </si>
  <si>
    <t>081358810595</t>
  </si>
  <si>
    <t>Guru :</t>
  </si>
  <si>
    <t>TU :</t>
  </si>
  <si>
    <t>Jml :</t>
  </si>
  <si>
    <t>JUMLAH</t>
  </si>
  <si>
    <t xml:space="preserve">GT </t>
  </si>
  <si>
    <t xml:space="preserve">GTT </t>
  </si>
  <si>
    <t xml:space="preserve">PT </t>
  </si>
  <si>
    <t xml:space="preserve">PTT </t>
  </si>
  <si>
    <t>DAFTAR URUT KEPANGKATAN (DUK) TENAGA PENDIDIK SMAN 1 BATU</t>
  </si>
  <si>
    <t>TEMPAT &amp; TGL.LAHIR</t>
  </si>
  <si>
    <t>TMT</t>
  </si>
  <si>
    <t>B.Indonesia</t>
  </si>
  <si>
    <t>PAI</t>
  </si>
  <si>
    <t>B.Inggris</t>
  </si>
  <si>
    <t>Penjaskes</t>
  </si>
  <si>
    <t>B.Jerman</t>
  </si>
  <si>
    <t>PPKN</t>
  </si>
  <si>
    <t>BK</t>
  </si>
  <si>
    <t>B.Jepang</t>
  </si>
  <si>
    <t>P.A.Kristen</t>
  </si>
  <si>
    <t>PPPK</t>
  </si>
  <si>
    <t>PJOK</t>
  </si>
  <si>
    <t>19820826 202221 1 011</t>
  </si>
  <si>
    <t>19840712 202221 2 044</t>
  </si>
  <si>
    <t>19900321 202221 2 012</t>
  </si>
  <si>
    <t>19900507 202221 2 016</t>
  </si>
  <si>
    <t>Didik  Eko  Susanto, S. Psi.</t>
  </si>
  <si>
    <t>Moh. Irham  Rozaki S. Kom. Gr.</t>
  </si>
  <si>
    <t>19891021 202221 1 017</t>
  </si>
  <si>
    <t>Mohamad  Denny, S. Kom.</t>
  </si>
  <si>
    <t>Widya  Ningsih, S. Kom.</t>
  </si>
  <si>
    <t>Abdul  Aziz  S.Kom</t>
  </si>
  <si>
    <t>19940623 202221 1 006</t>
  </si>
  <si>
    <t>Kholifatul   Rokhmah, S. Pd.</t>
  </si>
  <si>
    <t>Elsa Firda Yustika, S. Pd.</t>
  </si>
  <si>
    <t>Yolanda Via Susanti, S. Pd.</t>
  </si>
  <si>
    <t>Eka Hidayatul M, S. Pd. I</t>
  </si>
  <si>
    <t>M. Syamsu Hidayat, S. Pd.</t>
  </si>
  <si>
    <t>Damaola Via M, S. Pd.</t>
  </si>
  <si>
    <t>Sivira Anggriani, S. Pd.</t>
  </si>
  <si>
    <t>Tias Maulidina W, S. Psi.</t>
  </si>
  <si>
    <t>DAFTAR URUT KEPANGKATAN (DUK) TENAGA KEPENDIDIKAN SMAN 1 BATU</t>
  </si>
  <si>
    <t>3050751652130093</t>
  </si>
  <si>
    <t>3035758659130133</t>
  </si>
  <si>
    <t>2958761662130232</t>
  </si>
  <si>
    <t>9455768669130182</t>
  </si>
  <si>
    <t>5550757658130102</t>
  </si>
  <si>
    <t>1054759660130133</t>
  </si>
  <si>
    <t xml:space="preserve">5158769670230183 </t>
  </si>
  <si>
    <t xml:space="preserve">1940746647130132 </t>
  </si>
  <si>
    <t>6842770671130232</t>
  </si>
  <si>
    <t>0833764665130242</t>
  </si>
  <si>
    <t>DATA BATAS USIA PENSIUN (BUP)</t>
  </si>
  <si>
    <t>SMA NEGERI I BATU</t>
  </si>
  <si>
    <t>TAHUN 2019</t>
  </si>
  <si>
    <t>FUNGSIONAL</t>
  </si>
  <si>
    <t>BUP</t>
  </si>
  <si>
    <t>USUL PENSIUN</t>
  </si>
  <si>
    <t>STRUKTURAL</t>
  </si>
  <si>
    <t>Batu, 1 Juli  2019</t>
  </si>
  <si>
    <t>Kasubag. Tata Usaha</t>
  </si>
  <si>
    <t>Edy Purwanto</t>
  </si>
  <si>
    <t>NIP. 19630413 108602 1 006</t>
  </si>
  <si>
    <t>TAHUN 2020</t>
  </si>
  <si>
    <t>Nuraeni, S.Pd.</t>
  </si>
  <si>
    <t>196609121989032010</t>
  </si>
  <si>
    <t>Malang, 12-09-1966</t>
  </si>
  <si>
    <t>Suhariyanti, S.Sos</t>
  </si>
  <si>
    <t>Blitar, 15-Mei 1983</t>
  </si>
  <si>
    <t>II/a</t>
  </si>
  <si>
    <t>Mengetahui,</t>
  </si>
  <si>
    <t>Batu, 1 Juli  2020</t>
  </si>
  <si>
    <t>Kepala SMA Negeri 1 Batu</t>
  </si>
  <si>
    <t>Drs. Pamor Patriawan, M.M</t>
  </si>
  <si>
    <t>NIP. 19611009 198803 1 006</t>
  </si>
  <si>
    <t>TAHUN 2022</t>
  </si>
  <si>
    <t>Drs.Pamor Patriawan, M.M.</t>
  </si>
  <si>
    <t>19611009 198803 1 006</t>
  </si>
  <si>
    <t>01/10/2000</t>
  </si>
  <si>
    <t>Jakarta, 10-09-1961</t>
  </si>
  <si>
    <t>01/10/2021</t>
  </si>
  <si>
    <t>19660912 198903 2 010</t>
  </si>
  <si>
    <t>19630413 198602 1 006</t>
  </si>
  <si>
    <t>Malang, 13-04-1963</t>
  </si>
  <si>
    <t>01/05/2021</t>
  </si>
  <si>
    <t>Triwahyuningsih</t>
  </si>
  <si>
    <t>19630430 199003 2 007</t>
  </si>
  <si>
    <t>Kediri, 30-04-1963</t>
  </si>
  <si>
    <t>Batu, 1 Januari  2021</t>
  </si>
  <si>
    <t xml:space="preserve"> 19790709 202221 1 012</t>
  </si>
  <si>
    <t>Ribkha Ayu Adiningtyas, M.Pd.</t>
  </si>
  <si>
    <t>Amitha Mustika Damayanti, M .Pd.</t>
  </si>
  <si>
    <t>19830912 202221 2 036</t>
  </si>
  <si>
    <t xml:space="preserve">Bahasa Jawa </t>
  </si>
  <si>
    <t>Maria Cicilia Tri Palupi, S. Pd.</t>
  </si>
  <si>
    <t>19750111 200801 2 011</t>
  </si>
  <si>
    <t>Ritul Idha Djarwati,S.Pd., M.Pd.</t>
  </si>
  <si>
    <t>Pend. Ag Islam</t>
  </si>
  <si>
    <t xml:space="preserve"> 1242759663300000</t>
  </si>
  <si>
    <t>NO           NUPTK</t>
  </si>
  <si>
    <t>PTT</t>
  </si>
  <si>
    <t xml:space="preserve"> 199202192023212039</t>
  </si>
  <si>
    <t xml:space="preserve"> 198912042023211016</t>
  </si>
  <si>
    <t>Shinta Dewi Nirwana,S.Pd</t>
  </si>
  <si>
    <t>199310312023212029</t>
  </si>
  <si>
    <t xml:space="preserve"> 199208142023212042</t>
  </si>
  <si>
    <t>Galih Adi Nata,S.Pd</t>
  </si>
  <si>
    <t>199410022023211009</t>
  </si>
  <si>
    <t>Hermawanto, S.Pd, M.Pd.</t>
  </si>
  <si>
    <t>Reny Widayanti,S.E</t>
  </si>
  <si>
    <t>197411142008012015</t>
  </si>
  <si>
    <t>Pendidikan Kimia</t>
  </si>
  <si>
    <t>Emy Khuriyah , S.Pd</t>
  </si>
  <si>
    <t>Juhadi Ishak, S.Pd</t>
  </si>
  <si>
    <t xml:space="preserve">MATPEL </t>
  </si>
  <si>
    <t>YANG DIAMPU</t>
  </si>
  <si>
    <t xml:space="preserve"> 20536817170896012005592</t>
  </si>
  <si>
    <t xml:space="preserve"> 20536817251098012205590</t>
  </si>
  <si>
    <t xml:space="preserve"> 20536817140797012205596</t>
  </si>
  <si>
    <t xml:space="preserve"> 20536817140795012205587</t>
  </si>
  <si>
    <t xml:space="preserve"> 20536817150598072205594</t>
  </si>
  <si>
    <t>Sri Nurhayani, S.Pd</t>
  </si>
  <si>
    <t>Dra. Masrifah</t>
  </si>
  <si>
    <t>Ririn  Andriana, M.Pd.</t>
  </si>
  <si>
    <t>Dra Nurhayati,S.H</t>
  </si>
  <si>
    <t>Drs Awwaludin,M.Pd</t>
  </si>
  <si>
    <t>Maria Cicilia Tri Palupi, S.Pd.</t>
  </si>
  <si>
    <t>Amitha Mustika Damayanti,M.Pd.</t>
  </si>
  <si>
    <t>Moh. Irham Rozaki S.Kom.Gr.</t>
  </si>
  <si>
    <t>Didik  Eko Susanto, S. Psi.</t>
  </si>
  <si>
    <t>Devi Anggraeni,S.Pd</t>
  </si>
  <si>
    <t>Dini Ayupratiwi,S.Pd</t>
  </si>
  <si>
    <t>Hervina Sovia Rosa,S.Pd</t>
  </si>
  <si>
    <t>Ratih Sukmawati,S.Pd</t>
  </si>
  <si>
    <t>198907252024212041</t>
  </si>
  <si>
    <t xml:space="preserve"> 198109102024212008</t>
  </si>
  <si>
    <t xml:space="preserve"> 198709132024212024</t>
  </si>
  <si>
    <t>199407282024212057</t>
  </si>
  <si>
    <t xml:space="preserve"> 198707242024212003</t>
  </si>
  <si>
    <t xml:space="preserve"> 198008022024212014</t>
  </si>
  <si>
    <t>GTT</t>
  </si>
  <si>
    <t>Jenis Kelamin</t>
  </si>
  <si>
    <t>Jumlah</t>
  </si>
  <si>
    <t>Lk</t>
  </si>
  <si>
    <t>Pr</t>
  </si>
  <si>
    <t>Kepala Sekolah,</t>
  </si>
  <si>
    <t>TENAGA PENDIDIK</t>
  </si>
  <si>
    <t>OUSORSING</t>
  </si>
  <si>
    <t>KUALIFIKASI PENDIDIKAN</t>
  </si>
  <si>
    <t>NIP. 19650110 198803 2 011</t>
  </si>
  <si>
    <t>TENAGA KEPENDIDIKAN</t>
  </si>
  <si>
    <t>9</t>
  </si>
  <si>
    <t>Batu 1 Juli 2024</t>
  </si>
  <si>
    <t>PER 1 JULI 2024</t>
  </si>
  <si>
    <t>Prakarya dan Kewirausahaan</t>
  </si>
  <si>
    <t>JABATAN</t>
  </si>
  <si>
    <t>Amitha Mustika Dhamayanti, S .Pd.</t>
  </si>
  <si>
    <t>Aida Purwanti Cholifah, A.Md</t>
  </si>
  <si>
    <t>Bahasa Inggris/Mandarin</t>
  </si>
  <si>
    <t>Samsul Arifin</t>
  </si>
  <si>
    <t>Ririn Budi Hartini, S. Ag</t>
  </si>
  <si>
    <t>Agama Hindu</t>
  </si>
  <si>
    <t>Sisca Tri Hersa, S. Pd.</t>
  </si>
  <si>
    <t>Bahasa Mandarin</t>
  </si>
  <si>
    <t>GURU NON INDUK</t>
  </si>
  <si>
    <t>Eka  Hidayatul Mukarromah, S.Pd.I</t>
  </si>
  <si>
    <t>Kepala Sekolah</t>
  </si>
  <si>
    <t>19671023 199001 1 001</t>
  </si>
  <si>
    <t>Anto Dwi Cahyono, S.Pd., M.M.</t>
  </si>
  <si>
    <t>NAMA</t>
  </si>
  <si>
    <t xml:space="preserve">STATUS KEPEGAWAIAN </t>
  </si>
  <si>
    <t xml:space="preserve">Guru </t>
  </si>
  <si>
    <t>ASN</t>
  </si>
  <si>
    <t xml:space="preserve">Laboran </t>
  </si>
  <si>
    <t>Tenaga Kependidikan</t>
  </si>
  <si>
    <t>Outsourcing</t>
  </si>
  <si>
    <t>Satpam</t>
  </si>
  <si>
    <t>PPKW</t>
  </si>
  <si>
    <t>Adi Prasetio</t>
  </si>
  <si>
    <t>Devi Astri Wardiningtyas, S.Pd.</t>
  </si>
  <si>
    <t>Lailaus Naeni, S.S., S.Pd</t>
  </si>
  <si>
    <t>Lufi  Dani  Sanjaya</t>
  </si>
  <si>
    <t>199203222025212115</t>
  </si>
  <si>
    <t>199006082025211127</t>
  </si>
  <si>
    <t>Harris Arfianto</t>
  </si>
  <si>
    <t>Tony Fitriyanto</t>
  </si>
  <si>
    <t>Muhammad Gus Santo</t>
  </si>
  <si>
    <t>Ilham</t>
  </si>
  <si>
    <t>Reny Widayanti, S.E.</t>
  </si>
  <si>
    <t>Sunardi</t>
  </si>
  <si>
    <t>Raden Iriandi Budi Sulistiya, S.Pd.</t>
  </si>
  <si>
    <t>B. Inggris</t>
  </si>
  <si>
    <t>Dewi Insyasiska, S. Pd., M. Pd.</t>
  </si>
  <si>
    <t>Agustini Purwanti, S. Pd., M. Pd.</t>
  </si>
  <si>
    <t>Aris Eko Kurniawan, S.Pd., M.Pd.</t>
  </si>
  <si>
    <t>Indah Herawati, S. Si., M. Pd.</t>
  </si>
  <si>
    <t>Suhariyanti, S. Sos., M. Sos.</t>
  </si>
  <si>
    <t>Shinta Amalia, S.Pd. M. Pd.</t>
  </si>
  <si>
    <t>Sutejo, S.Pd.</t>
  </si>
  <si>
    <t>Cleaning Service</t>
  </si>
  <si>
    <t>Guru DPK</t>
  </si>
  <si>
    <t>19760326 202221 1 003</t>
  </si>
  <si>
    <t>19700513 200701 1 027</t>
  </si>
  <si>
    <t>PER OKTOBER  2026</t>
  </si>
  <si>
    <t>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</si>
</sst>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&quot; &quot;#,##0&quot; &quot;;&quot; (&quot;#,##0&quot;)&quot;;&quot; -&quot;00&quot; &quot;;&quot; &quot;@&quot; &quot;"/>
    <numFmt numFmtId="165" formatCode="dd/mm/yyyy;@"/>
    <numFmt numFmtId="166" formatCode="[$-421]dd&quot; &quot;mmmm&quot; &quot;yyyy;@"/>
    <numFmt numFmtId="167" formatCode="[$-409]d\-mmm\-yy;@"/>
    <numFmt numFmtId="168" formatCode="m/d/yyyy;@"/>
    <numFmt numFmtId="169" formatCode="[$-10409]m/d/yyyy;@"/>
    <numFmt numFmtId="170" formatCode="&quot; $&quot;#,##0.00&quot; &quot;;&quot; $(&quot;#,##0.00&quot;)&quot;;&quot; $-&quot;00&quot; &quot;;&quot; &quot;@&quot; &quot;"/>
    <numFmt numFmtId="171" formatCode="0&quot; &quot;;&quot;(&quot;0&quot;)&quot;"/>
    <numFmt numFmtId="172" formatCode="#,##0;&quot;-&quot;#,##0"/>
    <numFmt numFmtId="173" formatCode="00000000&quot;-&quot;000000&quot;-&quot;0&quot;-&quot;000"/>
    <numFmt numFmtId="174" formatCode="dd\-mm\-yyyy;@"/>
    <numFmt numFmtId="175" formatCode="&quot; &quot;#,##0.00&quot; &quot;;&quot; (&quot;#,##0.00&quot;)&quot;;&quot; -&quot;00&quot; &quot;;&quot; &quot;@&quot; &quot;"/>
  </numFmts>
  <fonts count="53" x14ac:knownFonts="1"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2"/>
      <color rgb="FFFF0000"/>
      <name val="Times New Roman"/>
      <family val="1"/>
    </font>
    <font>
      <sz val="10"/>
      <color rgb="FF000000"/>
      <name val="Tahoma"/>
      <family val="2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9"/>
      <color rgb="FFFF0000"/>
      <name val="Arial"/>
      <family val="2"/>
    </font>
    <font>
      <sz val="9"/>
      <color rgb="FF000000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20"/>
      <color rgb="FF000000"/>
      <name val="Arial"/>
      <family val="2"/>
    </font>
    <font>
      <sz val="12"/>
      <color theme="1"/>
      <name val="Arial"/>
      <family val="2"/>
    </font>
    <font>
      <sz val="14"/>
      <color rgb="FF000000"/>
      <name val="Arial"/>
      <family val="2"/>
    </font>
    <font>
      <sz val="16"/>
      <color rgb="FF000000"/>
      <name val="Arial"/>
      <family val="2"/>
    </font>
    <font>
      <sz val="8"/>
      <name val="Arial"/>
      <family val="2"/>
    </font>
    <font>
      <b/>
      <sz val="20"/>
      <color rgb="FF000000"/>
      <name val="Arial"/>
      <family val="2"/>
    </font>
    <font>
      <sz val="28"/>
      <color rgb="FF000000"/>
      <name val="Baskerville Old Face"/>
      <family val="1"/>
    </font>
    <font>
      <sz val="36"/>
      <color rgb="FF000000"/>
      <name val="Stencil"/>
      <family val="5"/>
    </font>
    <font>
      <sz val="36"/>
      <color rgb="FF000000"/>
      <name val="Baskerville Old Face"/>
      <family val="1"/>
    </font>
    <font>
      <sz val="36"/>
      <color theme="1"/>
      <name val="Baskerville Old Face"/>
      <family val="1"/>
    </font>
    <font>
      <sz val="36"/>
      <color rgb="FF000000"/>
      <name val="Arial"/>
      <family val="2"/>
    </font>
    <font>
      <sz val="30"/>
      <color rgb="FF000000"/>
      <name val="Baskerville Old Face"/>
      <family val="1"/>
    </font>
    <font>
      <sz val="33"/>
      <color rgb="FF000000"/>
      <name val="Baskerville Old Face"/>
      <family val="1"/>
    </font>
    <font>
      <sz val="35"/>
      <color rgb="FF000000"/>
      <name val="Baskerville Old Face"/>
      <family val="1"/>
    </font>
    <font>
      <sz val="32"/>
      <color rgb="FF000000"/>
      <name val="Baskerville Old Face"/>
      <family val="1"/>
    </font>
    <font>
      <sz val="37"/>
      <color rgb="FF000000"/>
      <name val="Baskerville Old Face"/>
      <family val="1"/>
    </font>
    <font>
      <sz val="40"/>
      <color rgb="FF000000"/>
      <name val="Baskerville Old Face"/>
      <family val="1"/>
    </font>
    <font>
      <sz val="31"/>
      <color rgb="FF000000"/>
      <name val="Baskerville Old Face"/>
      <family val="1"/>
    </font>
    <font>
      <b/>
      <sz val="10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sz val="9"/>
      <name val="Arial"/>
      <family val="2"/>
    </font>
    <font>
      <b/>
      <sz val="12"/>
      <name val="Arial"/>
      <family val="2"/>
    </font>
    <font>
      <sz val="15"/>
      <color rgb="FF000000"/>
      <name val="Arial"/>
      <family val="2"/>
    </font>
    <font>
      <sz val="15"/>
      <color theme="1"/>
      <name val="Arial"/>
      <family val="2"/>
    </font>
    <font>
      <b/>
      <sz val="13"/>
      <color rgb="FF000000"/>
      <name val="Arial"/>
      <family val="2"/>
    </font>
    <font>
      <sz val="15"/>
      <color rgb="FFFF0000"/>
      <name val="Arial"/>
      <family val="2"/>
    </font>
    <font>
      <sz val="12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4" fillId="0" borderId="0" applyNumberFormat="0" applyBorder="0" applyProtection="0"/>
    <xf numFmtId="0" fontId="2" fillId="0" borderId="0" applyNumberFormat="0" applyFont="0" applyBorder="0" applyProtection="0"/>
  </cellStyleXfs>
  <cellXfs count="326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3" fontId="0" fillId="0" borderId="1" xfId="0" applyNumberFormat="1" applyBorder="1" applyAlignment="1">
      <alignment horizontal="center" vertical="center"/>
    </xf>
    <xf numFmtId="164" fontId="2" fillId="0" borderId="1" xfId="1" applyNumberForma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8" fillId="0" borderId="0" xfId="0" applyNumberFormat="1" applyFont="1"/>
    <xf numFmtId="171" fontId="8" fillId="0" borderId="1" xfId="0" applyNumberFormat="1" applyFont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14" fontId="8" fillId="0" borderId="1" xfId="0" applyNumberFormat="1" applyFont="1" applyBorder="1" applyAlignment="1">
      <alignment horizontal="left"/>
    </xf>
    <xf numFmtId="0" fontId="0" fillId="0" borderId="1" xfId="0" applyBorder="1"/>
    <xf numFmtId="0" fontId="3" fillId="0" borderId="1" xfId="5" applyFill="1" applyBorder="1" applyAlignment="1"/>
    <xf numFmtId="0" fontId="8" fillId="0" borderId="1" xfId="0" applyFont="1" applyBorder="1" applyAlignment="1">
      <alignment horizontal="left"/>
    </xf>
    <xf numFmtId="168" fontId="8" fillId="0" borderId="1" xfId="0" applyNumberFormat="1" applyFont="1" applyBorder="1" applyAlignment="1">
      <alignment horizontal="center" vertical="center"/>
    </xf>
    <xf numFmtId="15" fontId="8" fillId="0" borderId="1" xfId="0" applyNumberFormat="1" applyFont="1" applyBorder="1"/>
    <xf numFmtId="165" fontId="8" fillId="0" borderId="1" xfId="0" applyNumberFormat="1" applyFont="1" applyBorder="1"/>
    <xf numFmtId="168" fontId="0" fillId="0" borderId="1" xfId="0" applyNumberFormat="1" applyBorder="1" applyAlignment="1">
      <alignment horizontal="left" vertical="center"/>
    </xf>
    <xf numFmtId="0" fontId="0" fillId="3" borderId="1" xfId="0" applyFill="1" applyBorder="1"/>
    <xf numFmtId="168" fontId="0" fillId="0" borderId="1" xfId="9" applyNumberFormat="1" applyFont="1" applyBorder="1" applyAlignment="1">
      <alignment horizontal="left" vertical="center"/>
    </xf>
    <xf numFmtId="0" fontId="0" fillId="0" borderId="3" xfId="0" applyBorder="1"/>
    <xf numFmtId="0" fontId="0" fillId="0" borderId="1" xfId="0" applyBorder="1" applyProtection="1">
      <protection locked="0"/>
    </xf>
    <xf numFmtId="171" fontId="8" fillId="0" borderId="1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169" fontId="0" fillId="0" borderId="1" xfId="0" applyNumberForma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169" fontId="0" fillId="0" borderId="1" xfId="0" applyNumberFormat="1" applyBorder="1" applyAlignment="1">
      <alignment horizontal="left" vertical="center"/>
    </xf>
    <xf numFmtId="169" fontId="0" fillId="0" borderId="1" xfId="9" applyNumberFormat="1" applyFont="1" applyBorder="1" applyAlignment="1">
      <alignment horizontal="left" vertical="center"/>
    </xf>
    <xf numFmtId="49" fontId="0" fillId="0" borderId="1" xfId="0" applyNumberFormat="1" applyBorder="1" applyProtection="1">
      <protection locked="0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left" vertical="center"/>
      <protection locked="0"/>
    </xf>
    <xf numFmtId="172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3" fillId="0" borderId="1" xfId="5" applyFill="1" applyBorder="1" applyAlignment="1">
      <alignment vertical="center"/>
    </xf>
    <xf numFmtId="0" fontId="9" fillId="0" borderId="1" xfId="0" applyFont="1" applyBorder="1"/>
    <xf numFmtId="165" fontId="8" fillId="0" borderId="1" xfId="0" applyNumberFormat="1" applyFont="1" applyBorder="1" applyAlignment="1">
      <alignment horizontal="center"/>
    </xf>
    <xf numFmtId="0" fontId="0" fillId="0" borderId="3" xfId="0" applyBorder="1" applyAlignment="1">
      <alignment vertical="center"/>
    </xf>
    <xf numFmtId="169" fontId="8" fillId="0" borderId="1" xfId="0" applyNumberFormat="1" applyFont="1" applyBorder="1" applyAlignment="1">
      <alignment horizontal="left" vertical="center"/>
    </xf>
    <xf numFmtId="169" fontId="0" fillId="5" borderId="1" xfId="9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15" fontId="0" fillId="0" borderId="1" xfId="0" applyNumberFormat="1" applyBorder="1"/>
    <xf numFmtId="169" fontId="8" fillId="5" borderId="1" xfId="0" applyNumberFormat="1" applyFont="1" applyFill="1" applyBorder="1" applyAlignment="1">
      <alignment horizontal="left" vertical="center"/>
    </xf>
    <xf numFmtId="169" fontId="0" fillId="5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164" fontId="2" fillId="6" borderId="1" xfId="1" applyNumberFormat="1" applyFill="1" applyBorder="1" applyAlignment="1">
      <alignment horizontal="center" vertical="center"/>
    </xf>
    <xf numFmtId="165" fontId="0" fillId="6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6" borderId="1" xfId="0" applyFill="1" applyBorder="1" applyAlignment="1" applyProtection="1">
      <alignment horizontal="left" vertical="center"/>
      <protection locked="0"/>
    </xf>
    <xf numFmtId="0" fontId="8" fillId="6" borderId="1" xfId="0" applyFont="1" applyFill="1" applyBorder="1" applyAlignment="1">
      <alignment horizontal="center" vertical="center"/>
    </xf>
    <xf numFmtId="171" fontId="8" fillId="6" borderId="1" xfId="0" applyNumberFormat="1" applyFont="1" applyFill="1" applyBorder="1" applyAlignment="1">
      <alignment horizontal="center" vertical="center"/>
    </xf>
    <xf numFmtId="172" fontId="8" fillId="6" borderId="1" xfId="0" applyNumberFormat="1" applyFont="1" applyFill="1" applyBorder="1" applyAlignment="1">
      <alignment horizontal="center" vertical="center"/>
    </xf>
    <xf numFmtId="171" fontId="8" fillId="6" borderId="1" xfId="1" applyNumberFormat="1" applyFont="1" applyFill="1" applyBorder="1" applyAlignment="1">
      <alignment horizontal="center" vertical="center"/>
    </xf>
    <xf numFmtId="14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9" fillId="6" borderId="1" xfId="0" applyFont="1" applyFill="1" applyBorder="1"/>
    <xf numFmtId="165" fontId="8" fillId="6" borderId="1" xfId="0" applyNumberFormat="1" applyFont="1" applyFill="1" applyBorder="1"/>
    <xf numFmtId="0" fontId="0" fillId="6" borderId="1" xfId="0" applyFill="1" applyBorder="1"/>
    <xf numFmtId="0" fontId="0" fillId="6" borderId="3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8" fillId="6" borderId="1" xfId="0" applyFont="1" applyFill="1" applyBorder="1"/>
    <xf numFmtId="0" fontId="0" fillId="6" borderId="1" xfId="0" applyFill="1" applyBorder="1" applyAlignment="1">
      <alignment horizontal="left"/>
    </xf>
    <xf numFmtId="0" fontId="0" fillId="6" borderId="3" xfId="0" applyFill="1" applyBorder="1"/>
    <xf numFmtId="0" fontId="0" fillId="6" borderId="0" xfId="0" applyFill="1"/>
    <xf numFmtId="49" fontId="10" fillId="0" borderId="1" xfId="0" applyNumberFormat="1" applyFont="1" applyBorder="1" applyAlignment="1">
      <alignment vertical="center"/>
    </xf>
    <xf numFmtId="15" fontId="9" fillId="6" borderId="1" xfId="0" applyNumberFormat="1" applyFont="1" applyFill="1" applyBorder="1" applyAlignment="1">
      <alignment horizontal="justify" vertical="center"/>
    </xf>
    <xf numFmtId="14" fontId="8" fillId="6" borderId="1" xfId="0" applyNumberFormat="1" applyFont="1" applyFill="1" applyBorder="1" applyAlignment="1">
      <alignment horizontal="left" vertical="center"/>
    </xf>
    <xf numFmtId="0" fontId="4" fillId="6" borderId="1" xfId="8" applyFill="1" applyBorder="1"/>
    <xf numFmtId="0" fontId="9" fillId="6" borderId="1" xfId="0" applyFont="1" applyFill="1" applyBorder="1" applyAlignment="1">
      <alignment horizontal="justify" vertical="center"/>
    </xf>
    <xf numFmtId="0" fontId="0" fillId="6" borderId="1" xfId="0" applyFill="1" applyBorder="1" applyAlignment="1" applyProtection="1">
      <alignment horizontal="center" vertical="center"/>
      <protection locked="0"/>
    </xf>
    <xf numFmtId="164" fontId="2" fillId="6" borderId="1" xfId="1" applyNumberFormat="1" applyFill="1" applyBorder="1" applyAlignment="1" applyProtection="1">
      <alignment horizontal="center" vertical="center"/>
      <protection locked="0"/>
    </xf>
    <xf numFmtId="15" fontId="11" fillId="6" borderId="1" xfId="0" applyNumberFormat="1" applyFont="1" applyFill="1" applyBorder="1"/>
    <xf numFmtId="0" fontId="3" fillId="6" borderId="1" xfId="5" applyFill="1" applyBorder="1" applyAlignment="1"/>
    <xf numFmtId="0" fontId="12" fillId="6" borderId="1" xfId="0" applyFont="1" applyFill="1" applyBorder="1"/>
    <xf numFmtId="165" fontId="8" fillId="6" borderId="1" xfId="0" applyNumberFormat="1" applyFont="1" applyFill="1" applyBorder="1" applyAlignment="1">
      <alignment horizontal="left"/>
    </xf>
    <xf numFmtId="0" fontId="13" fillId="6" borderId="1" xfId="0" applyFont="1" applyFill="1" applyBorder="1"/>
    <xf numFmtId="0" fontId="13" fillId="0" borderId="1" xfId="0" applyFont="1" applyBorder="1"/>
    <xf numFmtId="0" fontId="0" fillId="3" borderId="1" xfId="0" applyFill="1" applyBorder="1" applyAlignment="1">
      <alignment horizontal="left" vertical="center"/>
    </xf>
    <xf numFmtId="164" fontId="2" fillId="3" borderId="1" xfId="1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1" xfId="0" applyFill="1" applyBorder="1" applyAlignment="1" applyProtection="1">
      <alignment horizontal="left" vertical="center"/>
      <protection locked="0"/>
    </xf>
    <xf numFmtId="0" fontId="8" fillId="3" borderId="0" xfId="0" applyFont="1" applyFill="1"/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14" fontId="0" fillId="0" borderId="1" xfId="0" applyNumberForma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4" fillId="4" borderId="1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4" fillId="0" borderId="1" xfId="8" applyBorder="1"/>
    <xf numFmtId="14" fontId="8" fillId="0" borderId="1" xfId="0" applyNumberFormat="1" applyFont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164" fontId="2" fillId="2" borderId="1" xfId="1" applyNumberForma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/>
    <xf numFmtId="0" fontId="14" fillId="4" borderId="1" xfId="0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4" fontId="8" fillId="2" borderId="1" xfId="0" applyNumberFormat="1" applyFont="1" applyFill="1" applyBorder="1"/>
    <xf numFmtId="0" fontId="0" fillId="2" borderId="1" xfId="0" applyFill="1" applyBorder="1" applyAlignment="1">
      <alignment horizontal="left"/>
    </xf>
    <xf numFmtId="0" fontId="0" fillId="2" borderId="3" xfId="0" applyFill="1" applyBorder="1"/>
    <xf numFmtId="0" fontId="0" fillId="2" borderId="0" xfId="0" applyFill="1"/>
    <xf numFmtId="167" fontId="0" fillId="2" borderId="1" xfId="0" applyNumberFormat="1" applyFill="1" applyBorder="1" applyAlignment="1">
      <alignment horizontal="left"/>
    </xf>
    <xf numFmtId="167" fontId="8" fillId="2" borderId="1" xfId="0" applyNumberFormat="1" applyFont="1" applyFill="1" applyBorder="1" applyAlignment="1">
      <alignment horizontal="left"/>
    </xf>
    <xf numFmtId="0" fontId="0" fillId="0" borderId="0" xfId="0" applyAlignment="1">
      <alignment horizontal="right" vertical="center"/>
    </xf>
    <xf numFmtId="164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0" fontId="0" fillId="6" borderId="0" xfId="0" applyFill="1" applyAlignment="1">
      <alignment horizontal="right" vertical="center"/>
    </xf>
    <xf numFmtId="164" fontId="0" fillId="6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9" applyFont="1" applyAlignment="1">
      <alignment vertical="center"/>
    </xf>
    <xf numFmtId="168" fontId="0" fillId="0" borderId="0" xfId="0" applyNumberFormat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164" fontId="0" fillId="6" borderId="1" xfId="0" applyNumberFormat="1" applyFill="1" applyBorder="1" applyAlignment="1">
      <alignment horizontal="center" vertical="center"/>
    </xf>
    <xf numFmtId="169" fontId="0" fillId="0" borderId="0" xfId="0" applyNumberFormat="1" applyAlignment="1">
      <alignment horizontal="left" vertical="center"/>
    </xf>
    <xf numFmtId="169" fontId="0" fillId="5" borderId="0" xfId="0" applyNumberFormat="1" applyFill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14" fontId="0" fillId="0" borderId="0" xfId="0" applyNumberFormat="1" applyAlignment="1">
      <alignment vertical="center"/>
    </xf>
    <xf numFmtId="169" fontId="0" fillId="0" borderId="1" xfId="0" applyNumberFormat="1" applyBorder="1" applyAlignment="1">
      <alignment horizontal="right" vertical="center"/>
    </xf>
    <xf numFmtId="0" fontId="0" fillId="0" borderId="7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left"/>
    </xf>
    <xf numFmtId="174" fontId="0" fillId="0" borderId="1" xfId="0" applyNumberFormat="1" applyBorder="1" applyAlignment="1">
      <alignment horizontal="left" vertical="center"/>
    </xf>
    <xf numFmtId="14" fontId="0" fillId="0" borderId="1" xfId="0" applyNumberFormat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21" fillId="0" borderId="9" xfId="0" applyFont="1" applyBorder="1" applyAlignment="1">
      <alignment vertical="center"/>
    </xf>
    <xf numFmtId="0" fontId="22" fillId="0" borderId="0" xfId="0" applyFont="1"/>
    <xf numFmtId="0" fontId="18" fillId="0" borderId="10" xfId="0" applyFont="1" applyBorder="1" applyAlignment="1">
      <alignment horizontal="center" vertical="center"/>
    </xf>
    <xf numFmtId="0" fontId="23" fillId="0" borderId="0" xfId="0" applyFont="1"/>
    <xf numFmtId="0" fontId="23" fillId="8" borderId="0" xfId="0" applyFont="1" applyFill="1"/>
    <xf numFmtId="0" fontId="22" fillId="8" borderId="0" xfId="0" applyFont="1" applyFill="1"/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6" fillId="0" borderId="9" xfId="0" applyFont="1" applyBorder="1"/>
    <xf numFmtId="0" fontId="29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31" fillId="0" borderId="12" xfId="0" applyFont="1" applyBorder="1" applyAlignment="1">
      <alignment horizontal="left" vertical="center"/>
    </xf>
    <xf numFmtId="0" fontId="32" fillId="0" borderId="12" xfId="0" applyFont="1" applyBorder="1" applyAlignment="1">
      <alignment horizontal="left" vertical="center"/>
    </xf>
    <xf numFmtId="0" fontId="33" fillId="0" borderId="12" xfId="0" applyFont="1" applyBorder="1" applyAlignment="1">
      <alignment horizontal="left" vertical="center"/>
    </xf>
    <xf numFmtId="0" fontId="30" fillId="7" borderId="0" xfId="0" applyFont="1" applyFill="1"/>
    <xf numFmtId="0" fontId="34" fillId="0" borderId="12" xfId="0" applyFont="1" applyBorder="1" applyAlignment="1">
      <alignment horizontal="left" vertical="center"/>
    </xf>
    <xf numFmtId="0" fontId="35" fillId="0" borderId="12" xfId="0" applyFont="1" applyBorder="1" applyAlignment="1">
      <alignment horizontal="left" vertical="center"/>
    </xf>
    <xf numFmtId="0" fontId="36" fillId="0" borderId="12" xfId="0" applyFont="1" applyBorder="1" applyAlignment="1">
      <alignment horizontal="left" vertical="center"/>
    </xf>
    <xf numFmtId="0" fontId="27" fillId="9" borderId="11" xfId="0" applyFont="1" applyFill="1" applyBorder="1" applyAlignment="1">
      <alignment horizontal="center" textRotation="90"/>
    </xf>
    <xf numFmtId="0" fontId="27" fillId="9" borderId="12" xfId="0" applyFont="1" applyFill="1" applyBorder="1" applyAlignment="1">
      <alignment horizontal="center" textRotation="90"/>
    </xf>
    <xf numFmtId="0" fontId="27" fillId="9" borderId="13" xfId="0" applyFont="1" applyFill="1" applyBorder="1" applyAlignment="1">
      <alignment horizontal="center" textRotation="90"/>
    </xf>
    <xf numFmtId="0" fontId="32" fillId="0" borderId="11" xfId="0" applyFont="1" applyBorder="1" applyAlignment="1">
      <alignment horizontal="left" vertical="center"/>
    </xf>
    <xf numFmtId="0" fontId="37" fillId="0" borderId="12" xfId="0" applyFont="1" applyBorder="1" applyAlignment="1">
      <alignment horizontal="left" vertical="center"/>
    </xf>
    <xf numFmtId="4" fontId="39" fillId="0" borderId="0" xfId="0" applyNumberFormat="1" applyFont="1" applyAlignment="1">
      <alignment horizontal="right" vertical="center"/>
    </xf>
    <xf numFmtId="4" fontId="38" fillId="0" borderId="0" xfId="0" applyNumberFormat="1" applyFont="1" applyAlignment="1">
      <alignment vertical="center" wrapText="1"/>
    </xf>
    <xf numFmtId="0" fontId="40" fillId="0" borderId="0" xfId="0" applyFont="1" applyAlignment="1">
      <alignment vertical="center"/>
    </xf>
    <xf numFmtId="4" fontId="40" fillId="0" borderId="0" xfId="0" applyNumberFormat="1" applyFont="1" applyAlignment="1">
      <alignment vertical="center" wrapText="1"/>
    </xf>
    <xf numFmtId="0" fontId="41" fillId="0" borderId="0" xfId="0" applyFont="1" applyAlignment="1">
      <alignment horizontal="center"/>
    </xf>
    <xf numFmtId="0" fontId="41" fillId="0" borderId="0" xfId="0" applyFont="1"/>
    <xf numFmtId="0" fontId="42" fillId="0" borderId="23" xfId="0" applyFont="1" applyBorder="1" applyAlignment="1">
      <alignment horizontal="left" vertical="center" wrapText="1"/>
    </xf>
    <xf numFmtId="0" fontId="42" fillId="0" borderId="16" xfId="0" applyFont="1" applyBorder="1" applyAlignment="1">
      <alignment horizontal="left" vertical="center" wrapText="1"/>
    </xf>
    <xf numFmtId="4" fontId="42" fillId="0" borderId="21" xfId="0" applyNumberFormat="1" applyFont="1" applyBorder="1" applyAlignment="1">
      <alignment horizontal="center" vertical="center" wrapText="1"/>
    </xf>
    <xf numFmtId="4" fontId="42" fillId="0" borderId="20" xfId="0" applyNumberFormat="1" applyFont="1" applyBorder="1" applyAlignment="1">
      <alignment horizontal="center" vertical="center" wrapText="1"/>
    </xf>
    <xf numFmtId="4" fontId="39" fillId="0" borderId="0" xfId="0" applyNumberFormat="1" applyFont="1" applyAlignment="1">
      <alignment horizontal="left" vertical="center"/>
    </xf>
    <xf numFmtId="4" fontId="38" fillId="0" borderId="0" xfId="0" applyNumberFormat="1" applyFont="1" applyAlignment="1">
      <alignment horizontal="left" vertical="center" wrapText="1"/>
    </xf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left"/>
    </xf>
    <xf numFmtId="1" fontId="42" fillId="0" borderId="21" xfId="0" applyNumberFormat="1" applyFont="1" applyBorder="1" applyAlignment="1">
      <alignment horizontal="center" vertical="center" wrapText="1"/>
    </xf>
    <xf numFmtId="1" fontId="42" fillId="0" borderId="20" xfId="0" applyNumberFormat="1" applyFont="1" applyBorder="1" applyAlignment="1">
      <alignment horizontal="center" vertical="center" wrapText="1"/>
    </xf>
    <xf numFmtId="1" fontId="42" fillId="0" borderId="21" xfId="0" quotePrefix="1" applyNumberFormat="1" applyFont="1" applyBorder="1" applyAlignment="1">
      <alignment horizontal="center" vertical="center" wrapText="1"/>
    </xf>
    <xf numFmtId="1" fontId="42" fillId="0" borderId="21" xfId="0" quotePrefix="1" applyNumberFormat="1" applyFont="1" applyBorder="1" applyAlignment="1">
      <alignment horizontal="center" vertical="center"/>
    </xf>
    <xf numFmtId="1" fontId="42" fillId="0" borderId="22" xfId="0" applyNumberFormat="1" applyFont="1" applyBorder="1" applyAlignment="1">
      <alignment horizontal="center" vertical="center" wrapText="1"/>
    </xf>
    <xf numFmtId="1" fontId="42" fillId="0" borderId="22" xfId="0" quotePrefix="1" applyNumberFormat="1" applyFont="1" applyBorder="1" applyAlignment="1">
      <alignment horizontal="center" vertical="center" wrapText="1"/>
    </xf>
    <xf numFmtId="1" fontId="42" fillId="0" borderId="24" xfId="0" applyNumberFormat="1" applyFont="1" applyBorder="1" applyAlignment="1">
      <alignment horizontal="center" vertical="center" wrapText="1"/>
    </xf>
    <xf numFmtId="0" fontId="42" fillId="0" borderId="25" xfId="0" applyFont="1" applyBorder="1" applyAlignment="1">
      <alignment horizontal="left" vertical="center" wrapText="1"/>
    </xf>
    <xf numFmtId="1" fontId="42" fillId="0" borderId="26" xfId="0" applyNumberFormat="1" applyFont="1" applyBorder="1" applyAlignment="1">
      <alignment horizontal="center" vertical="center" wrapText="1"/>
    </xf>
    <xf numFmtId="1" fontId="42" fillId="0" borderId="19" xfId="0" applyNumberFormat="1" applyFont="1" applyBorder="1" applyAlignment="1">
      <alignment horizontal="center" vertical="center" wrapText="1"/>
    </xf>
    <xf numFmtId="1" fontId="42" fillId="0" borderId="27" xfId="0" quotePrefix="1" applyNumberFormat="1" applyFont="1" applyBorder="1" applyAlignment="1">
      <alignment horizontal="center" vertical="center" wrapText="1"/>
    </xf>
    <xf numFmtId="1" fontId="42" fillId="0" borderId="27" xfId="0" applyNumberFormat="1" applyFont="1" applyBorder="1" applyAlignment="1">
      <alignment horizontal="center" vertical="center" wrapText="1"/>
    </xf>
    <xf numFmtId="4" fontId="42" fillId="0" borderId="29" xfId="0" applyNumberFormat="1" applyFont="1" applyBorder="1" applyAlignment="1">
      <alignment horizontal="center" vertical="center" wrapText="1"/>
    </xf>
    <xf numFmtId="1" fontId="42" fillId="0" borderId="28" xfId="0" applyNumberFormat="1" applyFont="1" applyBorder="1" applyAlignment="1">
      <alignment horizontal="center" vertical="center" wrapText="1"/>
    </xf>
    <xf numFmtId="4" fontId="42" fillId="0" borderId="17" xfId="0" applyNumberFormat="1" applyFont="1" applyBorder="1" applyAlignment="1">
      <alignment horizontal="center" vertical="center" wrapText="1"/>
    </xf>
    <xf numFmtId="3" fontId="42" fillId="0" borderId="30" xfId="0" applyNumberFormat="1" applyFont="1" applyBorder="1" applyAlignment="1">
      <alignment horizontal="center" vertical="center" wrapText="1"/>
    </xf>
    <xf numFmtId="1" fontId="42" fillId="0" borderId="14" xfId="0" applyNumberFormat="1" applyFont="1" applyBorder="1" applyAlignment="1">
      <alignment horizontal="center" vertical="center" wrapText="1"/>
    </xf>
    <xf numFmtId="1" fontId="42" fillId="0" borderId="15" xfId="0" applyNumberFormat="1" applyFont="1" applyBorder="1" applyAlignment="1">
      <alignment horizontal="center" vertical="center" wrapText="1"/>
    </xf>
    <xf numFmtId="4" fontId="42" fillId="0" borderId="18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44" fillId="7" borderId="0" xfId="0" applyFont="1" applyFill="1" applyAlignment="1">
      <alignment horizontal="left" vertical="center"/>
    </xf>
    <xf numFmtId="3" fontId="0" fillId="0" borderId="0" xfId="0" applyNumberFormat="1"/>
    <xf numFmtId="0" fontId="19" fillId="0" borderId="9" xfId="0" applyFont="1" applyBorder="1" applyAlignment="1">
      <alignment horizontal="left" vertical="center" wrapText="1"/>
    </xf>
    <xf numFmtId="0" fontId="46" fillId="0" borderId="0" xfId="0" applyFont="1" applyAlignment="1">
      <alignment horizontal="left" vertical="center"/>
    </xf>
    <xf numFmtId="0" fontId="17" fillId="11" borderId="5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left"/>
    </xf>
    <xf numFmtId="0" fontId="18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/>
    </xf>
    <xf numFmtId="0" fontId="43" fillId="7" borderId="0" xfId="0" applyFont="1" applyFill="1" applyAlignment="1">
      <alignment horizontal="center" vertical="center"/>
    </xf>
    <xf numFmtId="0" fontId="43" fillId="7" borderId="0" xfId="0" applyFont="1" applyFill="1" applyAlignment="1">
      <alignment horizontal="left" vertical="center"/>
    </xf>
    <xf numFmtId="0" fontId="19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left" vertical="center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45" fillId="11" borderId="5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17" fillId="12" borderId="9" xfId="0" applyFont="1" applyFill="1" applyBorder="1" applyAlignment="1">
      <alignment horizontal="center" vertical="center"/>
    </xf>
    <xf numFmtId="0" fontId="19" fillId="12" borderId="9" xfId="0" applyFont="1" applyFill="1" applyBorder="1" applyAlignment="1">
      <alignment horizontal="center" vertical="center"/>
    </xf>
    <xf numFmtId="0" fontId="19" fillId="12" borderId="9" xfId="0" applyFont="1" applyFill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173" fontId="19" fillId="0" borderId="9" xfId="0" applyNumberFormat="1" applyFont="1" applyBorder="1" applyAlignment="1">
      <alignment horizontal="center" vertical="center"/>
    </xf>
    <xf numFmtId="164" fontId="19" fillId="0" borderId="9" xfId="1" quotePrefix="1" applyNumberFormat="1" applyFont="1" applyFill="1" applyBorder="1" applyAlignment="1">
      <alignment horizontal="left" vertical="center" wrapText="1"/>
    </xf>
    <xf numFmtId="0" fontId="21" fillId="7" borderId="9" xfId="0" applyFont="1" applyFill="1" applyBorder="1" applyAlignment="1">
      <alignment horizontal="left" vertical="center" wrapText="1"/>
    </xf>
    <xf numFmtId="0" fontId="21" fillId="7" borderId="9" xfId="0" applyFont="1" applyFill="1" applyBorder="1" applyAlignment="1">
      <alignment horizontal="center" vertical="center"/>
    </xf>
    <xf numFmtId="170" fontId="21" fillId="7" borderId="9" xfId="0" applyNumberFormat="1" applyFont="1" applyFill="1" applyBorder="1" applyAlignment="1">
      <alignment horizontal="left" vertical="center" wrapText="1"/>
    </xf>
    <xf numFmtId="0" fontId="21" fillId="0" borderId="9" xfId="0" applyFont="1" applyBorder="1" applyAlignment="1">
      <alignment horizontal="center" vertical="center"/>
    </xf>
    <xf numFmtId="170" fontId="19" fillId="0" borderId="9" xfId="0" applyNumberFormat="1" applyFont="1" applyBorder="1" applyAlignment="1">
      <alignment horizontal="left" vertical="center" wrapText="1"/>
    </xf>
    <xf numFmtId="170" fontId="21" fillId="0" borderId="9" xfId="0" applyNumberFormat="1" applyFont="1" applyBorder="1" applyAlignment="1">
      <alignment horizontal="left" vertical="center" wrapText="1"/>
    </xf>
    <xf numFmtId="170" fontId="19" fillId="0" borderId="9" xfId="0" quotePrefix="1" applyNumberFormat="1" applyFont="1" applyBorder="1" applyAlignment="1">
      <alignment horizontal="left" vertical="center" wrapText="1"/>
    </xf>
    <xf numFmtId="0" fontId="19" fillId="7" borderId="9" xfId="0" applyFont="1" applyFill="1" applyBorder="1" applyAlignment="1">
      <alignment horizontal="left" vertical="center" wrapText="1"/>
    </xf>
    <xf numFmtId="0" fontId="19" fillId="0" borderId="9" xfId="0" quotePrefix="1" applyFont="1" applyBorder="1" applyAlignment="1">
      <alignment horizontal="left" vertical="center" wrapText="1"/>
    </xf>
    <xf numFmtId="0" fontId="19" fillId="0" borderId="9" xfId="0" applyFont="1" applyBorder="1" applyAlignment="1" applyProtection="1">
      <alignment horizontal="left" vertical="center" wrapText="1"/>
      <protection locked="0"/>
    </xf>
    <xf numFmtId="0" fontId="47" fillId="0" borderId="9" xfId="0" applyFont="1" applyBorder="1" applyAlignment="1">
      <alignment horizontal="left" vertical="center" wrapText="1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7" borderId="9" xfId="0" applyFont="1" applyFill="1" applyBorder="1" applyAlignment="1">
      <alignment horizontal="center" vertical="center"/>
    </xf>
    <xf numFmtId="0" fontId="21" fillId="12" borderId="9" xfId="0" applyFont="1" applyFill="1" applyBorder="1" applyAlignment="1">
      <alignment horizontal="left" vertical="center" wrapText="1"/>
    </xf>
    <xf numFmtId="0" fontId="19" fillId="12" borderId="9" xfId="0" applyFont="1" applyFill="1" applyBorder="1" applyAlignment="1" applyProtection="1">
      <alignment horizontal="center" vertical="center"/>
      <protection locked="0"/>
    </xf>
    <xf numFmtId="0" fontId="19" fillId="12" borderId="9" xfId="0" quotePrefix="1" applyFont="1" applyFill="1" applyBorder="1" applyAlignment="1">
      <alignment horizontal="left" vertical="center" wrapText="1"/>
    </xf>
    <xf numFmtId="0" fontId="19" fillId="12" borderId="9" xfId="0" applyFont="1" applyFill="1" applyBorder="1" applyAlignment="1" applyProtection="1">
      <alignment horizontal="left" vertical="center" wrapText="1"/>
      <protection locked="0"/>
    </xf>
    <xf numFmtId="0" fontId="0" fillId="7" borderId="9" xfId="0" applyFont="1" applyFill="1" applyBorder="1" applyAlignment="1">
      <alignment horizontal="left" vertical="center" wrapText="1"/>
    </xf>
    <xf numFmtId="0" fontId="48" fillId="0" borderId="9" xfId="0" applyFont="1" applyBorder="1" applyAlignment="1">
      <alignment horizontal="center"/>
    </xf>
    <xf numFmtId="0" fontId="49" fillId="0" borderId="9" xfId="0" applyFont="1" applyBorder="1" applyAlignment="1">
      <alignment horizontal="left" vertical="center" wrapText="1"/>
    </xf>
    <xf numFmtId="0" fontId="1" fillId="7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49" fillId="0" borderId="9" xfId="0" applyFont="1" applyBorder="1" applyAlignment="1">
      <alignment horizontal="left" vertical="center"/>
    </xf>
    <xf numFmtId="0" fontId="50" fillId="0" borderId="9" xfId="0" applyFont="1" applyBorder="1" applyAlignment="1">
      <alignment vertical="center"/>
    </xf>
    <xf numFmtId="0" fontId="51" fillId="0" borderId="9" xfId="0" applyFont="1" applyBorder="1" applyAlignment="1">
      <alignment horizontal="left" vertical="center" wrapText="1"/>
    </xf>
    <xf numFmtId="0" fontId="50" fillId="0" borderId="9" xfId="0" applyFont="1" applyBorder="1" applyAlignment="1">
      <alignment horizontal="left" vertical="center"/>
    </xf>
    <xf numFmtId="0" fontId="49" fillId="0" borderId="9" xfId="0" applyFont="1" applyBorder="1" applyAlignment="1">
      <alignment horizontal="center"/>
    </xf>
    <xf numFmtId="0" fontId="49" fillId="7" borderId="9" xfId="0" applyFont="1" applyFill="1" applyBorder="1" applyAlignment="1">
      <alignment horizontal="center"/>
    </xf>
    <xf numFmtId="0" fontId="50" fillId="0" borderId="9" xfId="0" applyFont="1" applyBorder="1" applyAlignment="1">
      <alignment horizontal="left" vertical="center" wrapText="1"/>
    </xf>
    <xf numFmtId="0" fontId="52" fillId="0" borderId="9" xfId="0" applyFont="1" applyBorder="1" applyAlignment="1">
      <alignment horizontal="left" vertical="center" wrapText="1"/>
    </xf>
    <xf numFmtId="0" fontId="50" fillId="7" borderId="9" xfId="0" applyFont="1" applyFill="1" applyBorder="1" applyAlignment="1">
      <alignment horizontal="left" vertical="center" wrapText="1"/>
    </xf>
    <xf numFmtId="0" fontId="51" fillId="7" borderId="9" xfId="0" applyFont="1" applyFill="1" applyBorder="1" applyAlignment="1">
      <alignment horizontal="left" vertical="center" wrapText="1"/>
    </xf>
    <xf numFmtId="0" fontId="50" fillId="0" borderId="1" xfId="0" applyFont="1" applyBorder="1" applyAlignment="1">
      <alignment vertical="center"/>
    </xf>
    <xf numFmtId="0" fontId="50" fillId="0" borderId="5" xfId="0" applyFont="1" applyBorder="1" applyAlignment="1">
      <alignment vertical="center"/>
    </xf>
    <xf numFmtId="0" fontId="52" fillId="0" borderId="1" xfId="0" applyFont="1" applyBorder="1" applyAlignment="1">
      <alignment vertical="center"/>
    </xf>
    <xf numFmtId="0" fontId="52" fillId="0" borderId="1" xfId="0" applyFont="1" applyBorder="1" applyAlignment="1">
      <alignment vertical="center" wrapText="1"/>
    </xf>
    <xf numFmtId="0" fontId="52" fillId="0" borderId="5" xfId="0" applyFont="1" applyBorder="1" applyAlignment="1">
      <alignment vertical="center"/>
    </xf>
    <xf numFmtId="0" fontId="52" fillId="0" borderId="9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4" fontId="42" fillId="0" borderId="21" xfId="0" applyNumberFormat="1" applyFont="1" applyBorder="1" applyAlignment="1">
      <alignment horizontal="center" vertical="center" wrapText="1"/>
    </xf>
    <xf numFmtId="4" fontId="42" fillId="0" borderId="20" xfId="0" applyNumberFormat="1" applyFont="1" applyBorder="1" applyAlignment="1">
      <alignment horizontal="center" vertical="center" wrapText="1"/>
    </xf>
    <xf numFmtId="4" fontId="42" fillId="0" borderId="28" xfId="0" applyNumberFormat="1" applyFont="1" applyBorder="1" applyAlignment="1">
      <alignment horizontal="center" vertical="center" wrapText="1"/>
    </xf>
    <xf numFmtId="4" fontId="42" fillId="0" borderId="29" xfId="0" applyNumberFormat="1" applyFont="1" applyBorder="1" applyAlignment="1">
      <alignment horizontal="center" vertical="center" wrapText="1"/>
    </xf>
    <xf numFmtId="4" fontId="42" fillId="0" borderId="21" xfId="0" applyNumberFormat="1" applyFont="1" applyBorder="1" applyAlignment="1">
      <alignment horizontal="left" vertical="center" wrapText="1"/>
    </xf>
    <xf numFmtId="4" fontId="42" fillId="0" borderId="23" xfId="0" applyNumberFormat="1" applyFont="1" applyBorder="1" applyAlignment="1">
      <alignment horizontal="center" vertical="center" wrapText="1"/>
    </xf>
    <xf numFmtId="1" fontId="42" fillId="0" borderId="24" xfId="0" applyNumberFormat="1" applyFont="1" applyBorder="1" applyAlignment="1">
      <alignment horizontal="center" vertical="center" wrapText="1"/>
    </xf>
    <xf numFmtId="1" fontId="42" fillId="0" borderId="28" xfId="0" applyNumberFormat="1" applyFont="1" applyBorder="1" applyAlignment="1">
      <alignment horizontal="center" vertical="center" wrapText="1"/>
    </xf>
    <xf numFmtId="1" fontId="42" fillId="0" borderId="15" xfId="0" applyNumberFormat="1" applyFont="1" applyBorder="1" applyAlignment="1">
      <alignment horizontal="center" vertical="center" wrapText="1"/>
    </xf>
    <xf numFmtId="1" fontId="42" fillId="0" borderId="29" xfId="0" applyNumberFormat="1" applyFont="1" applyBorder="1" applyAlignment="1">
      <alignment horizontal="center" vertical="center" wrapText="1"/>
    </xf>
    <xf numFmtId="1" fontId="42" fillId="0" borderId="18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/>
    </xf>
  </cellXfs>
  <cellStyles count="10">
    <cellStyle name="Comma" xfId="1" builtinId="3" customBuiltin="1"/>
    <cellStyle name="Comma 2" xfId="2"/>
    <cellStyle name="Comma 2 2" xfId="3"/>
    <cellStyle name="Comma 3" xfId="4"/>
    <cellStyle name="Hyperlink" xfId="5"/>
    <cellStyle name="Normal" xfId="0" builtinId="0" customBuiltin="1"/>
    <cellStyle name="Normal 2" xfId="6"/>
    <cellStyle name="Normal 2 2" xfId="7"/>
    <cellStyle name="Normal 3" xfId="8"/>
    <cellStyle name="Normal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ethacuteone8386@gmail.com" TargetMode="External"/><Relationship Id="rId1" Type="http://schemas.openxmlformats.org/officeDocument/2006/relationships/hyperlink" Target="mailto:pamorpatria914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80"/>
  <sheetViews>
    <sheetView workbookViewId="0"/>
  </sheetViews>
  <sheetFormatPr defaultRowHeight="13.2" x14ac:dyDescent="0.25"/>
  <cols>
    <col min="1" max="1" width="6.33203125" customWidth="1"/>
    <col min="2" max="2" width="32" customWidth="1"/>
    <col min="3" max="3" width="24.44140625" customWidth="1"/>
    <col min="4" max="4" width="6.109375" style="142" customWidth="1"/>
    <col min="5" max="6" width="4.5546875" style="142" customWidth="1"/>
    <col min="7" max="8" width="22.109375" style="142" customWidth="1"/>
    <col min="9" max="9" width="12.88671875" style="140" customWidth="1"/>
    <col min="10" max="10" width="7" customWidth="1"/>
    <col min="11" max="11" width="7.88671875" customWidth="1"/>
    <col min="12" max="12" width="11.33203125" customWidth="1"/>
    <col min="13" max="14" width="7.5546875" customWidth="1"/>
    <col min="15" max="15" width="13.44140625" customWidth="1"/>
    <col min="16" max="19" width="7.109375" customWidth="1"/>
    <col min="20" max="20" width="7.109375" style="140" customWidth="1"/>
    <col min="21" max="21" width="7.109375" customWidth="1"/>
    <col min="22" max="23" width="10.109375" customWidth="1"/>
    <col min="24" max="24" width="7.33203125" style="140" bestFit="1" customWidth="1"/>
    <col min="25" max="25" width="19.88671875" hidden="1" customWidth="1"/>
    <col min="26" max="26" width="16.5546875" hidden="1" customWidth="1"/>
    <col min="27" max="27" width="26.33203125" style="141" customWidth="1"/>
    <col min="28" max="28" width="18.109375" bestFit="1" customWidth="1"/>
    <col min="29" max="29" width="6.33203125" hidden="1" customWidth="1"/>
    <col min="30" max="30" width="6.33203125" style="142" hidden="1" customWidth="1"/>
    <col min="31" max="31" width="11.5546875" style="142" customWidth="1"/>
    <col min="32" max="32" width="8" style="140" customWidth="1"/>
    <col min="33" max="33" width="16.109375" customWidth="1"/>
    <col min="34" max="34" width="11.6640625" customWidth="1"/>
    <col min="35" max="35" width="13.88671875" customWidth="1"/>
    <col min="36" max="36" width="7.6640625" bestFit="1" customWidth="1"/>
    <col min="37" max="37" width="47.88671875" customWidth="1"/>
    <col min="38" max="39" width="5.5546875" customWidth="1"/>
    <col min="40" max="40" width="16.88671875" bestFit="1" customWidth="1"/>
    <col min="41" max="41" width="25.6640625" bestFit="1" customWidth="1"/>
    <col min="42" max="42" width="19" bestFit="1" customWidth="1"/>
    <col min="43" max="43" width="10" bestFit="1" customWidth="1"/>
    <col min="44" max="44" width="14.109375" bestFit="1" customWidth="1"/>
    <col min="45" max="45" width="31.44140625" bestFit="1" customWidth="1"/>
    <col min="46" max="46" width="33" customWidth="1"/>
    <col min="47" max="47" width="17.33203125" customWidth="1"/>
    <col min="48" max="48" width="12.88671875" customWidth="1"/>
    <col min="49" max="49" width="26.5546875" bestFit="1" customWidth="1"/>
    <col min="50" max="50" width="17.109375" customWidth="1"/>
    <col min="51" max="51" width="11.109375" customWidth="1"/>
    <col min="52" max="52" width="24.6640625" bestFit="1" customWidth="1"/>
    <col min="53" max="53" width="24.6640625" customWidth="1"/>
    <col min="54" max="54" width="19.33203125" customWidth="1"/>
    <col min="55" max="55" width="13.88671875" customWidth="1"/>
    <col min="56" max="56" width="20.6640625" customWidth="1"/>
    <col min="57" max="57" width="7.6640625" customWidth="1"/>
    <col min="58" max="58" width="24.5546875" style="141" customWidth="1"/>
    <col min="59" max="59" width="18.44140625" style="141" customWidth="1"/>
    <col min="60" max="60" width="18" customWidth="1"/>
    <col min="61" max="61" width="15.5546875" customWidth="1"/>
    <col min="62" max="62" width="29.88671875" customWidth="1"/>
    <col min="63" max="63" width="20.33203125" customWidth="1"/>
    <col min="64" max="64" width="17.33203125" customWidth="1"/>
    <col min="65" max="65" width="10.5546875" customWidth="1"/>
    <col min="66" max="66" width="16.109375" bestFit="1" customWidth="1"/>
    <col min="67" max="67" width="15.44140625" customWidth="1"/>
    <col min="68" max="68" width="20.33203125" customWidth="1"/>
    <col min="69" max="71" width="18.33203125" customWidth="1"/>
    <col min="72" max="73" width="9.109375" customWidth="1"/>
    <col min="74" max="74" width="11" customWidth="1"/>
    <col min="75" max="75" width="9.109375" customWidth="1"/>
    <col min="76" max="76" width="12.33203125" customWidth="1"/>
    <col min="77" max="77" width="16.5546875" customWidth="1"/>
    <col min="78" max="78" width="9.109375" customWidth="1"/>
  </cols>
  <sheetData>
    <row r="1" spans="1:77" s="3" customFormat="1" ht="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BF1" s="4"/>
      <c r="BG1" s="4"/>
    </row>
    <row r="2" spans="1:77" s="3" customFormat="1" ht="17.399999999999999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6"/>
      <c r="AB2" s="5"/>
      <c r="AC2" s="5"/>
      <c r="AD2" s="5"/>
      <c r="AE2" s="5"/>
      <c r="AF2" s="5"/>
      <c r="BF2" s="4"/>
      <c r="BG2" s="4"/>
    </row>
    <row r="3" spans="1:77" s="3" customFormat="1" ht="17.399999999999999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5"/>
      <c r="AC3" s="5"/>
      <c r="AD3" s="5"/>
      <c r="AE3" s="5"/>
      <c r="AF3" s="5"/>
      <c r="BF3" s="4"/>
      <c r="BG3" s="4"/>
    </row>
    <row r="4" spans="1:77" s="3" customFormat="1" ht="6.75" customHeight="1" x14ac:dyDescent="0.25">
      <c r="AA4" s="4"/>
      <c r="BF4" s="4"/>
      <c r="BG4" s="4"/>
    </row>
    <row r="5" spans="1:77" s="3" customFormat="1" ht="21" customHeight="1" x14ac:dyDescent="0.25">
      <c r="A5" s="300" t="s">
        <v>3</v>
      </c>
      <c r="B5" s="300" t="s">
        <v>4</v>
      </c>
      <c r="C5" s="300" t="s">
        <v>5</v>
      </c>
      <c r="D5" s="300" t="s">
        <v>6</v>
      </c>
      <c r="E5" s="300"/>
      <c r="F5" s="300"/>
      <c r="G5" s="300" t="s">
        <v>7</v>
      </c>
      <c r="H5" s="300" t="s">
        <v>8</v>
      </c>
      <c r="I5" s="300" t="s">
        <v>9</v>
      </c>
      <c r="J5" s="301" t="s">
        <v>10</v>
      </c>
      <c r="K5" s="301"/>
      <c r="L5" s="301"/>
      <c r="M5" s="301"/>
      <c r="N5" s="301"/>
      <c r="O5" s="300" t="s">
        <v>11</v>
      </c>
      <c r="P5" s="301" t="s">
        <v>12</v>
      </c>
      <c r="Q5" s="301"/>
      <c r="R5" s="301"/>
      <c r="S5" s="301"/>
      <c r="T5" s="301"/>
      <c r="U5" s="301"/>
      <c r="V5" s="300" t="s">
        <v>13</v>
      </c>
      <c r="W5" s="300" t="s">
        <v>14</v>
      </c>
      <c r="X5" s="300" t="s">
        <v>15</v>
      </c>
      <c r="Y5" s="7" t="s">
        <v>16</v>
      </c>
      <c r="Z5" s="7"/>
      <c r="AA5" s="300" t="s">
        <v>17</v>
      </c>
      <c r="AB5" s="301" t="s">
        <v>18</v>
      </c>
      <c r="AC5" s="7"/>
      <c r="AD5" s="7"/>
      <c r="AE5" s="301" t="s">
        <v>19</v>
      </c>
      <c r="AF5" s="301"/>
      <c r="AG5" s="302" t="s">
        <v>20</v>
      </c>
      <c r="AH5" s="302" t="s">
        <v>21</v>
      </c>
      <c r="AI5" s="302" t="s">
        <v>22</v>
      </c>
      <c r="AJ5" s="302" t="s">
        <v>23</v>
      </c>
      <c r="AK5" s="302" t="s">
        <v>24</v>
      </c>
      <c r="AL5" s="302" t="s">
        <v>25</v>
      </c>
      <c r="AM5" s="302" t="s">
        <v>26</v>
      </c>
      <c r="AN5" s="302" t="s">
        <v>27</v>
      </c>
      <c r="AO5" s="302" t="s">
        <v>28</v>
      </c>
      <c r="AP5" s="302" t="s">
        <v>29</v>
      </c>
      <c r="AQ5" s="302" t="s">
        <v>30</v>
      </c>
      <c r="AR5" s="302" t="s">
        <v>31</v>
      </c>
      <c r="AS5" s="302" t="s">
        <v>32</v>
      </c>
      <c r="AT5" s="302" t="s">
        <v>33</v>
      </c>
      <c r="AU5" s="302" t="s">
        <v>34</v>
      </c>
      <c r="AV5" s="302" t="s">
        <v>35</v>
      </c>
      <c r="AW5" s="302" t="s">
        <v>36</v>
      </c>
      <c r="AX5" s="302" t="s">
        <v>37</v>
      </c>
      <c r="AY5" s="302" t="s">
        <v>38</v>
      </c>
      <c r="AZ5" s="302" t="s">
        <v>39</v>
      </c>
      <c r="BA5" s="302" t="s">
        <v>40</v>
      </c>
      <c r="BB5" s="302" t="s">
        <v>41</v>
      </c>
      <c r="BC5" s="302" t="s">
        <v>42</v>
      </c>
      <c r="BD5" s="302" t="s">
        <v>39</v>
      </c>
      <c r="BE5" s="302" t="s">
        <v>43</v>
      </c>
      <c r="BF5" s="302" t="s">
        <v>44</v>
      </c>
      <c r="BG5" s="302" t="s">
        <v>45</v>
      </c>
      <c r="BH5" s="302" t="s">
        <v>46</v>
      </c>
      <c r="BI5" s="302" t="s">
        <v>47</v>
      </c>
      <c r="BJ5" s="302" t="s">
        <v>48</v>
      </c>
      <c r="BK5" s="302" t="s">
        <v>49</v>
      </c>
      <c r="BL5" s="302" t="s">
        <v>50</v>
      </c>
      <c r="BM5" s="302" t="s">
        <v>51</v>
      </c>
      <c r="BN5" s="302" t="s">
        <v>52</v>
      </c>
      <c r="BO5" s="300" t="s">
        <v>53</v>
      </c>
      <c r="BP5" s="304" t="s">
        <v>54</v>
      </c>
      <c r="BQ5" s="304" t="s">
        <v>55</v>
      </c>
      <c r="BR5" s="304" t="s">
        <v>56</v>
      </c>
      <c r="BS5" s="304"/>
      <c r="BT5" s="304"/>
      <c r="BU5" s="8"/>
    </row>
    <row r="6" spans="1:77" s="3" customFormat="1" ht="21" customHeight="1" x14ac:dyDescent="0.25">
      <c r="A6" s="300"/>
      <c r="B6" s="300"/>
      <c r="C6" s="300"/>
      <c r="D6" s="300"/>
      <c r="E6" s="300"/>
      <c r="F6" s="300"/>
      <c r="G6" s="300"/>
      <c r="H6" s="300"/>
      <c r="I6" s="300"/>
      <c r="J6" s="300" t="s">
        <v>57</v>
      </c>
      <c r="K6" s="301" t="s">
        <v>58</v>
      </c>
      <c r="L6" s="301" t="s">
        <v>59</v>
      </c>
      <c r="M6" s="301" t="s">
        <v>12</v>
      </c>
      <c r="N6" s="301"/>
      <c r="O6" s="300"/>
      <c r="P6" s="301" t="s">
        <v>60</v>
      </c>
      <c r="Q6" s="301"/>
      <c r="R6" s="300" t="s">
        <v>61</v>
      </c>
      <c r="S6" s="300"/>
      <c r="T6" s="300" t="s">
        <v>62</v>
      </c>
      <c r="U6" s="300"/>
      <c r="V6" s="300"/>
      <c r="W6" s="300"/>
      <c r="X6" s="300"/>
      <c r="Y6" s="7" t="s">
        <v>63</v>
      </c>
      <c r="Z6" s="7" t="s">
        <v>64</v>
      </c>
      <c r="AA6" s="300"/>
      <c r="AB6" s="301"/>
      <c r="AC6" s="7"/>
      <c r="AD6" s="7" t="s">
        <v>65</v>
      </c>
      <c r="AE6" s="301" t="s">
        <v>66</v>
      </c>
      <c r="AF6" s="301" t="s">
        <v>67</v>
      </c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  <c r="AS6" s="302"/>
      <c r="AT6" s="302"/>
      <c r="AU6" s="302"/>
      <c r="AV6" s="302"/>
      <c r="AW6" s="302"/>
      <c r="AX6" s="302"/>
      <c r="AY6" s="302"/>
      <c r="AZ6" s="302"/>
      <c r="BA6" s="302"/>
      <c r="BB6" s="302"/>
      <c r="BC6" s="302"/>
      <c r="BD6" s="302"/>
      <c r="BE6" s="302"/>
      <c r="BF6" s="302"/>
      <c r="BG6" s="302"/>
      <c r="BH6" s="302"/>
      <c r="BI6" s="302"/>
      <c r="BJ6" s="302"/>
      <c r="BK6" s="302"/>
      <c r="BL6" s="302"/>
      <c r="BM6" s="302"/>
      <c r="BN6" s="302"/>
      <c r="BO6" s="300"/>
      <c r="BP6" s="304"/>
      <c r="BQ6" s="304"/>
      <c r="BR6" s="304"/>
      <c r="BS6" s="304"/>
      <c r="BT6" s="304"/>
      <c r="BU6" s="8"/>
      <c r="BV6" s="303" t="s">
        <v>68</v>
      </c>
      <c r="BW6" s="303"/>
      <c r="BX6" s="303"/>
    </row>
    <row r="7" spans="1:77" s="3" customFormat="1" ht="21" customHeight="1" x14ac:dyDescent="0.25">
      <c r="A7" s="300"/>
      <c r="B7" s="300"/>
      <c r="C7" s="300"/>
      <c r="D7" s="10"/>
      <c r="E7" s="11" t="s">
        <v>69</v>
      </c>
      <c r="F7" s="11" t="s">
        <v>70</v>
      </c>
      <c r="G7" s="300"/>
      <c r="H7" s="300"/>
      <c r="I7" s="300"/>
      <c r="J7" s="300"/>
      <c r="K7" s="301"/>
      <c r="L7" s="301"/>
      <c r="M7" s="7" t="s">
        <v>67</v>
      </c>
      <c r="N7" s="7" t="s">
        <v>66</v>
      </c>
      <c r="O7" s="300"/>
      <c r="P7" s="7" t="s">
        <v>67</v>
      </c>
      <c r="Q7" s="7" t="s">
        <v>66</v>
      </c>
      <c r="R7" s="7" t="s">
        <v>67</v>
      </c>
      <c r="S7" s="7" t="s">
        <v>66</v>
      </c>
      <c r="T7" s="7" t="s">
        <v>67</v>
      </c>
      <c r="U7" s="7" t="s">
        <v>66</v>
      </c>
      <c r="V7" s="300"/>
      <c r="W7" s="300"/>
      <c r="X7" s="300"/>
      <c r="Y7" s="7"/>
      <c r="Z7" s="7"/>
      <c r="AA7" s="300"/>
      <c r="AB7" s="301"/>
      <c r="AC7" s="7" t="s">
        <v>71</v>
      </c>
      <c r="AD7" s="7" t="s">
        <v>72</v>
      </c>
      <c r="AE7" s="301"/>
      <c r="AF7" s="301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  <c r="AS7" s="302"/>
      <c r="AT7" s="302"/>
      <c r="AU7" s="302"/>
      <c r="AV7" s="302"/>
      <c r="AW7" s="302"/>
      <c r="AX7" s="302"/>
      <c r="AY7" s="302"/>
      <c r="AZ7" s="302"/>
      <c r="BA7" s="302"/>
      <c r="BB7" s="302"/>
      <c r="BC7" s="302"/>
      <c r="BD7" s="302"/>
      <c r="BE7" s="302"/>
      <c r="BF7" s="302"/>
      <c r="BG7" s="302"/>
      <c r="BH7" s="302"/>
      <c r="BI7" s="302"/>
      <c r="BJ7" s="302"/>
      <c r="BK7" s="302"/>
      <c r="BL7" s="302"/>
      <c r="BM7" s="302"/>
      <c r="BN7" s="302"/>
      <c r="BO7" s="300"/>
      <c r="BP7" s="304"/>
      <c r="BQ7" s="304"/>
      <c r="BR7" s="12" t="s">
        <v>73</v>
      </c>
      <c r="BS7" s="12" t="s">
        <v>74</v>
      </c>
      <c r="BT7" s="13" t="s">
        <v>75</v>
      </c>
      <c r="BV7" s="14" t="s">
        <v>76</v>
      </c>
      <c r="BW7" s="13"/>
      <c r="BX7" s="15" t="s">
        <v>77</v>
      </c>
      <c r="BY7" s="3" t="s">
        <v>78</v>
      </c>
    </row>
    <row r="8" spans="1:77" s="3" customFormat="1" ht="19.5" customHeight="1" x14ac:dyDescent="0.25">
      <c r="A8" s="16">
        <v>1</v>
      </c>
      <c r="B8" s="13" t="s">
        <v>79</v>
      </c>
      <c r="C8" s="17" t="s">
        <v>80</v>
      </c>
      <c r="D8" s="18"/>
      <c r="E8" s="19">
        <v>1</v>
      </c>
      <c r="F8" s="19"/>
      <c r="G8" s="20" t="s">
        <v>81</v>
      </c>
      <c r="H8" s="20" t="s">
        <v>81</v>
      </c>
      <c r="I8" s="16" t="s">
        <v>82</v>
      </c>
      <c r="J8" t="s">
        <v>83</v>
      </c>
      <c r="K8" s="16" t="s">
        <v>84</v>
      </c>
      <c r="L8" s="21">
        <v>41365</v>
      </c>
      <c r="M8" s="22"/>
      <c r="N8" s="23"/>
      <c r="O8" s="23"/>
      <c r="P8" s="16"/>
      <c r="Q8" s="16"/>
      <c r="R8" s="24"/>
      <c r="S8" s="24"/>
      <c r="T8" s="25">
        <v>36</v>
      </c>
      <c r="U8" s="25">
        <v>8</v>
      </c>
      <c r="V8" s="16" t="s">
        <v>85</v>
      </c>
      <c r="W8" s="16"/>
      <c r="X8" s="16">
        <v>2009</v>
      </c>
      <c r="Y8" s="13"/>
      <c r="Z8" s="13"/>
      <c r="AA8" s="17" t="s">
        <v>86</v>
      </c>
      <c r="AB8" s="26" t="s">
        <v>87</v>
      </c>
      <c r="AC8" s="27"/>
      <c r="AD8" s="28"/>
      <c r="AE8" s="29">
        <v>45017</v>
      </c>
      <c r="AF8" s="30">
        <v>2023</v>
      </c>
      <c r="AG8" s="31"/>
      <c r="AH8" s="32"/>
      <c r="AI8" s="31"/>
      <c r="AJ8" s="31" t="s">
        <v>88</v>
      </c>
      <c r="AK8" t="s">
        <v>89</v>
      </c>
      <c r="AL8" s="33">
        <v>9</v>
      </c>
      <c r="AM8" s="33">
        <v>3</v>
      </c>
      <c r="AN8"/>
      <c r="AO8" t="s">
        <v>90</v>
      </c>
      <c r="AP8" t="s">
        <v>91</v>
      </c>
      <c r="AQ8">
        <v>65171</v>
      </c>
      <c r="AR8" t="s">
        <v>92</v>
      </c>
      <c r="AS8" s="34"/>
      <c r="AT8" s="35"/>
      <c r="AU8" s="35"/>
      <c r="AV8" s="36"/>
      <c r="AW8" s="31"/>
      <c r="AX8" s="37"/>
      <c r="AY8" s="38"/>
      <c r="AZ8" s="31"/>
      <c r="BA8" s="39"/>
      <c r="BB8" s="39"/>
      <c r="BC8" s="23"/>
      <c r="BD8" s="33"/>
      <c r="BE8" s="40"/>
      <c r="BF8" s="41"/>
      <c r="BG8" s="41"/>
      <c r="BH8" s="33"/>
      <c r="BI8" s="33"/>
      <c r="BJ8" s="33"/>
      <c r="BK8" s="16"/>
      <c r="BL8" s="33"/>
      <c r="BM8" s="33"/>
      <c r="BN8" s="42"/>
      <c r="BO8" s="13"/>
      <c r="BP8" s="43"/>
      <c r="BQ8" s="13"/>
      <c r="BR8" s="13"/>
      <c r="BS8" s="13"/>
      <c r="BT8" s="13"/>
      <c r="BV8" s="14"/>
      <c r="BW8" s="13"/>
      <c r="BX8" s="15"/>
    </row>
    <row r="9" spans="1:77" s="3" customFormat="1" ht="18.75" customHeight="1" x14ac:dyDescent="0.25">
      <c r="A9" s="16">
        <v>2</v>
      </c>
      <c r="B9" s="13" t="s">
        <v>93</v>
      </c>
      <c r="C9" s="17" t="s">
        <v>94</v>
      </c>
      <c r="D9" s="18" t="s">
        <v>70</v>
      </c>
      <c r="E9" s="19"/>
      <c r="F9" s="19">
        <v>1</v>
      </c>
      <c r="G9" s="16" t="s">
        <v>95</v>
      </c>
      <c r="H9" s="16" t="s">
        <v>96</v>
      </c>
      <c r="I9" s="16" t="s">
        <v>82</v>
      </c>
      <c r="J9" s="17" t="s">
        <v>97</v>
      </c>
      <c r="K9" s="16" t="s">
        <v>84</v>
      </c>
      <c r="L9" s="23" t="s">
        <v>98</v>
      </c>
      <c r="M9" s="23"/>
      <c r="N9" s="23"/>
      <c r="O9" s="23" t="s">
        <v>99</v>
      </c>
      <c r="P9" s="16">
        <v>3</v>
      </c>
      <c r="Q9" s="16">
        <v>0</v>
      </c>
      <c r="R9" s="24">
        <v>32</v>
      </c>
      <c r="S9" s="24">
        <v>7</v>
      </c>
      <c r="T9" s="25">
        <v>37</v>
      </c>
      <c r="U9" s="25">
        <v>7</v>
      </c>
      <c r="V9" s="16" t="s">
        <v>85</v>
      </c>
      <c r="W9" s="16"/>
      <c r="X9" s="16">
        <v>2003</v>
      </c>
      <c r="Y9" s="13"/>
      <c r="Z9" s="13" t="s">
        <v>100</v>
      </c>
      <c r="AA9" s="17" t="s">
        <v>101</v>
      </c>
      <c r="AB9" s="27" t="s">
        <v>102</v>
      </c>
      <c r="AC9" s="27" t="str">
        <f t="shared" ref="AC9:AC44" si="0">MID(G9,5,2)</f>
        <v>06</v>
      </c>
      <c r="AD9" s="28" t="str">
        <f t="shared" ref="AD9:AD44" si="1">MID(G9,1,4)</f>
        <v>1961</v>
      </c>
      <c r="AE9" s="44" t="s">
        <v>103</v>
      </c>
      <c r="AF9" s="30">
        <f t="shared" ref="AF9:AF17" si="2">AD9+60</f>
        <v>2021</v>
      </c>
      <c r="AG9" s="31" t="s">
        <v>104</v>
      </c>
      <c r="AH9" s="32" t="s">
        <v>105</v>
      </c>
      <c r="AI9" s="31" t="s">
        <v>106</v>
      </c>
      <c r="AJ9" s="31" t="s">
        <v>88</v>
      </c>
      <c r="AK9" s="33" t="s">
        <v>107</v>
      </c>
      <c r="AL9" s="33">
        <v>2</v>
      </c>
      <c r="AM9" s="33">
        <v>10</v>
      </c>
      <c r="AN9" s="33" t="s">
        <v>108</v>
      </c>
      <c r="AO9" s="33" t="s">
        <v>109</v>
      </c>
      <c r="AP9" s="33" t="s">
        <v>110</v>
      </c>
      <c r="AQ9" s="33">
        <v>65315</v>
      </c>
      <c r="AR9" s="33" t="s">
        <v>111</v>
      </c>
      <c r="AS9" s="33" t="s">
        <v>112</v>
      </c>
      <c r="AT9" s="35" t="s">
        <v>113</v>
      </c>
      <c r="AU9" s="35" t="s">
        <v>114</v>
      </c>
      <c r="AV9" s="36" t="s">
        <v>99</v>
      </c>
      <c r="AW9" s="31" t="s">
        <v>115</v>
      </c>
      <c r="AX9" s="31" t="s">
        <v>116</v>
      </c>
      <c r="AY9" s="38" t="s">
        <v>117</v>
      </c>
      <c r="AZ9" s="31" t="s">
        <v>118</v>
      </c>
      <c r="BA9" s="39" t="s">
        <v>119</v>
      </c>
      <c r="BB9" s="39" t="s">
        <v>120</v>
      </c>
      <c r="BC9" s="23" t="s">
        <v>98</v>
      </c>
      <c r="BD9" s="33" t="s">
        <v>121</v>
      </c>
      <c r="BE9" s="40" t="str">
        <f t="shared" ref="BE9:BE40" si="3">K9</f>
        <v>IV/b</v>
      </c>
      <c r="BF9" s="41" t="s">
        <v>122</v>
      </c>
      <c r="BG9" s="41" t="s">
        <v>123</v>
      </c>
      <c r="BH9" s="33" t="s">
        <v>124</v>
      </c>
      <c r="BI9" s="33" t="s">
        <v>125</v>
      </c>
      <c r="BJ9" s="33" t="s">
        <v>126</v>
      </c>
      <c r="BK9" s="33" t="s">
        <v>127</v>
      </c>
      <c r="BL9" s="33" t="s">
        <v>128</v>
      </c>
      <c r="BM9" s="33" t="s">
        <v>129</v>
      </c>
      <c r="BN9" s="42" t="s">
        <v>130</v>
      </c>
      <c r="BO9" s="13" t="s">
        <v>131</v>
      </c>
      <c r="BP9" s="43" t="s">
        <v>132</v>
      </c>
      <c r="BQ9" s="13" t="s">
        <v>111</v>
      </c>
      <c r="BR9" s="13"/>
      <c r="BS9" s="13"/>
      <c r="BT9" s="13"/>
      <c r="BV9" s="14">
        <f t="shared" ref="BV9:BV40" si="4">R9+1</f>
        <v>33</v>
      </c>
      <c r="BW9" s="13"/>
      <c r="BX9" s="15">
        <f t="shared" ref="BX9:BX40" si="5">T9+1</f>
        <v>38</v>
      </c>
    </row>
    <row r="10" spans="1:77" s="3" customFormat="1" ht="18.75" customHeight="1" x14ac:dyDescent="0.25">
      <c r="A10" s="16">
        <v>3</v>
      </c>
      <c r="B10" s="13" t="s">
        <v>133</v>
      </c>
      <c r="C10" s="17" t="s">
        <v>134</v>
      </c>
      <c r="D10" s="18" t="s">
        <v>70</v>
      </c>
      <c r="E10" s="19"/>
      <c r="F10" s="19">
        <v>1</v>
      </c>
      <c r="G10" s="16" t="s">
        <v>135</v>
      </c>
      <c r="H10" s="16" t="s">
        <v>136</v>
      </c>
      <c r="I10" s="16" t="s">
        <v>82</v>
      </c>
      <c r="J10" s="17" t="s">
        <v>97</v>
      </c>
      <c r="K10" s="16" t="s">
        <v>84</v>
      </c>
      <c r="L10" s="23" t="s">
        <v>137</v>
      </c>
      <c r="M10" s="23"/>
      <c r="N10" s="23"/>
      <c r="O10" s="23" t="s">
        <v>138</v>
      </c>
      <c r="P10" s="16">
        <v>3</v>
      </c>
      <c r="Q10" s="16">
        <v>0</v>
      </c>
      <c r="R10" s="24">
        <v>31</v>
      </c>
      <c r="S10" s="24">
        <v>4</v>
      </c>
      <c r="T10" s="25">
        <v>36</v>
      </c>
      <c r="U10" s="25">
        <v>4</v>
      </c>
      <c r="V10" s="16" t="s">
        <v>85</v>
      </c>
      <c r="W10" s="16"/>
      <c r="X10" s="16">
        <v>2011</v>
      </c>
      <c r="Y10" s="13"/>
      <c r="Z10" s="13"/>
      <c r="AA10" s="17" t="s">
        <v>101</v>
      </c>
      <c r="AB10" s="27" t="s">
        <v>139</v>
      </c>
      <c r="AC10" s="27" t="str">
        <f t="shared" si="0"/>
        <v>07</v>
      </c>
      <c r="AD10" s="28" t="str">
        <f t="shared" si="1"/>
        <v>1963</v>
      </c>
      <c r="AE10" s="44" t="s">
        <v>140</v>
      </c>
      <c r="AF10" s="30">
        <f t="shared" si="2"/>
        <v>2023</v>
      </c>
      <c r="AG10" s="31" t="s">
        <v>141</v>
      </c>
      <c r="AH10" s="32" t="s">
        <v>142</v>
      </c>
      <c r="AI10" s="31" t="s">
        <v>143</v>
      </c>
      <c r="AJ10" s="31" t="s">
        <v>88</v>
      </c>
      <c r="AK10" s="33" t="s">
        <v>144</v>
      </c>
      <c r="AL10" s="33">
        <v>2</v>
      </c>
      <c r="AM10" s="33">
        <v>9</v>
      </c>
      <c r="AN10" s="33" t="s">
        <v>145</v>
      </c>
      <c r="AO10" s="33" t="s">
        <v>145</v>
      </c>
      <c r="AP10" s="33" t="s">
        <v>110</v>
      </c>
      <c r="AQ10" s="33">
        <v>65311</v>
      </c>
      <c r="AR10" s="33" t="s">
        <v>146</v>
      </c>
      <c r="AS10" s="33" t="s">
        <v>147</v>
      </c>
      <c r="AT10" s="35" t="s">
        <v>148</v>
      </c>
      <c r="AU10" s="35" t="s">
        <v>149</v>
      </c>
      <c r="AV10" s="36" t="s">
        <v>138</v>
      </c>
      <c r="AW10" s="31" t="s">
        <v>150</v>
      </c>
      <c r="AX10" s="31" t="s">
        <v>151</v>
      </c>
      <c r="AY10" s="38" t="s">
        <v>152</v>
      </c>
      <c r="AZ10" s="31" t="s">
        <v>153</v>
      </c>
      <c r="BA10" s="39" t="s">
        <v>154</v>
      </c>
      <c r="BB10" s="39" t="s">
        <v>155</v>
      </c>
      <c r="BC10" s="23" t="s">
        <v>137</v>
      </c>
      <c r="BD10" s="33" t="s">
        <v>121</v>
      </c>
      <c r="BE10" s="40" t="str">
        <f t="shared" si="3"/>
        <v>IV/b</v>
      </c>
      <c r="BF10" s="41" t="s">
        <v>122</v>
      </c>
      <c r="BG10" s="41" t="s">
        <v>123</v>
      </c>
      <c r="BH10" s="33" t="s">
        <v>156</v>
      </c>
      <c r="BI10" s="33" t="s">
        <v>125</v>
      </c>
      <c r="BJ10" s="33" t="s">
        <v>157</v>
      </c>
      <c r="BK10" s="33"/>
      <c r="BL10" s="33" t="s">
        <v>128</v>
      </c>
      <c r="BM10" s="33" t="s">
        <v>129</v>
      </c>
      <c r="BN10" s="42" t="s">
        <v>158</v>
      </c>
      <c r="BO10" s="13" t="s">
        <v>159</v>
      </c>
      <c r="BP10" s="43" t="s">
        <v>160</v>
      </c>
      <c r="BQ10" s="13" t="s">
        <v>161</v>
      </c>
      <c r="BR10" s="13"/>
      <c r="BS10" s="13"/>
      <c r="BT10" s="13"/>
      <c r="BV10" s="14">
        <f t="shared" si="4"/>
        <v>32</v>
      </c>
      <c r="BW10" s="13"/>
      <c r="BX10" s="15">
        <f t="shared" si="5"/>
        <v>37</v>
      </c>
    </row>
    <row r="11" spans="1:77" s="3" customFormat="1" ht="18.75" customHeight="1" x14ac:dyDescent="0.25">
      <c r="A11" s="16">
        <v>4</v>
      </c>
      <c r="B11" s="13" t="s">
        <v>162</v>
      </c>
      <c r="C11" s="17" t="s">
        <v>163</v>
      </c>
      <c r="D11" s="18" t="s">
        <v>70</v>
      </c>
      <c r="E11" s="19"/>
      <c r="F11" s="19">
        <v>1</v>
      </c>
      <c r="G11" s="16" t="s">
        <v>164</v>
      </c>
      <c r="H11" s="16" t="s">
        <v>165</v>
      </c>
      <c r="I11" s="16" t="s">
        <v>82</v>
      </c>
      <c r="J11" s="17" t="s">
        <v>97</v>
      </c>
      <c r="K11" s="16" t="s">
        <v>84</v>
      </c>
      <c r="L11" s="23" t="s">
        <v>166</v>
      </c>
      <c r="M11" s="23"/>
      <c r="N11" s="23"/>
      <c r="O11" s="23" t="s">
        <v>167</v>
      </c>
      <c r="P11" s="16">
        <v>3</v>
      </c>
      <c r="Q11" s="16">
        <v>0</v>
      </c>
      <c r="R11" s="24">
        <v>30</v>
      </c>
      <c r="S11" s="24">
        <v>4</v>
      </c>
      <c r="T11" s="25">
        <v>35</v>
      </c>
      <c r="U11" s="25">
        <v>4</v>
      </c>
      <c r="V11" s="16" t="s">
        <v>85</v>
      </c>
      <c r="W11" s="16"/>
      <c r="X11" s="16">
        <v>2018</v>
      </c>
      <c r="Y11" s="13"/>
      <c r="Z11" s="13"/>
      <c r="AA11" s="17" t="s">
        <v>168</v>
      </c>
      <c r="AB11" s="27" t="s">
        <v>169</v>
      </c>
      <c r="AC11" s="27" t="str">
        <f t="shared" si="0"/>
        <v>09</v>
      </c>
      <c r="AD11" s="28" t="str">
        <f t="shared" si="1"/>
        <v>1965</v>
      </c>
      <c r="AE11" s="44" t="s">
        <v>170</v>
      </c>
      <c r="AF11" s="30">
        <f t="shared" si="2"/>
        <v>2025</v>
      </c>
      <c r="AG11" s="31" t="s">
        <v>171</v>
      </c>
      <c r="AH11" s="32" t="s">
        <v>105</v>
      </c>
      <c r="AI11" s="31" t="s">
        <v>172</v>
      </c>
      <c r="AJ11" s="31" t="s">
        <v>88</v>
      </c>
      <c r="AK11" s="33" t="s">
        <v>173</v>
      </c>
      <c r="AL11" s="33">
        <v>3</v>
      </c>
      <c r="AM11" s="33">
        <v>5</v>
      </c>
      <c r="AN11" s="33" t="s">
        <v>174</v>
      </c>
      <c r="AO11" s="33" t="s">
        <v>174</v>
      </c>
      <c r="AP11" s="33" t="s">
        <v>110</v>
      </c>
      <c r="AQ11" s="33">
        <v>65313</v>
      </c>
      <c r="AR11" s="33" t="s">
        <v>175</v>
      </c>
      <c r="AS11" s="33" t="s">
        <v>176</v>
      </c>
      <c r="AT11" s="35" t="s">
        <v>177</v>
      </c>
      <c r="AU11" s="35" t="s">
        <v>178</v>
      </c>
      <c r="AV11" s="36" t="s">
        <v>167</v>
      </c>
      <c r="AW11" s="31" t="s">
        <v>179</v>
      </c>
      <c r="AX11" s="31" t="s">
        <v>180</v>
      </c>
      <c r="AY11" s="38" t="s">
        <v>181</v>
      </c>
      <c r="AZ11" s="31" t="s">
        <v>153</v>
      </c>
      <c r="BA11" s="39" t="s">
        <v>182</v>
      </c>
      <c r="BB11" s="39" t="s">
        <v>183</v>
      </c>
      <c r="BC11" s="23" t="s">
        <v>166</v>
      </c>
      <c r="BD11" s="33" t="s">
        <v>121</v>
      </c>
      <c r="BE11" s="40" t="str">
        <f t="shared" si="3"/>
        <v>IV/b</v>
      </c>
      <c r="BF11" s="41" t="s">
        <v>122</v>
      </c>
      <c r="BG11" s="41" t="s">
        <v>123</v>
      </c>
      <c r="BH11" s="33" t="s">
        <v>124</v>
      </c>
      <c r="BI11" s="33" t="s">
        <v>125</v>
      </c>
      <c r="BJ11" s="33" t="s">
        <v>184</v>
      </c>
      <c r="BK11" s="33" t="s">
        <v>185</v>
      </c>
      <c r="BL11" s="33" t="s">
        <v>128</v>
      </c>
      <c r="BM11" s="33" t="s">
        <v>129</v>
      </c>
      <c r="BN11" s="42" t="s">
        <v>186</v>
      </c>
      <c r="BO11" s="13" t="s">
        <v>187</v>
      </c>
      <c r="BP11" s="43" t="s">
        <v>188</v>
      </c>
      <c r="BQ11" s="13" t="s">
        <v>189</v>
      </c>
      <c r="BR11" s="13"/>
      <c r="BS11" s="13"/>
      <c r="BT11" s="13"/>
      <c r="BV11" s="14">
        <f t="shared" si="4"/>
        <v>31</v>
      </c>
      <c r="BW11" s="13"/>
      <c r="BX11" s="15">
        <f t="shared" si="5"/>
        <v>36</v>
      </c>
    </row>
    <row r="12" spans="1:77" s="3" customFormat="1" ht="18.75" customHeight="1" x14ac:dyDescent="0.25">
      <c r="A12" s="16">
        <v>5</v>
      </c>
      <c r="B12" s="13" t="s">
        <v>190</v>
      </c>
      <c r="C12" s="17" t="s">
        <v>191</v>
      </c>
      <c r="D12" s="18" t="s">
        <v>69</v>
      </c>
      <c r="E12" s="19">
        <v>1</v>
      </c>
      <c r="F12" s="19"/>
      <c r="G12" s="16" t="s">
        <v>192</v>
      </c>
      <c r="H12" s="16" t="s">
        <v>193</v>
      </c>
      <c r="I12" s="16" t="s">
        <v>82</v>
      </c>
      <c r="J12" s="17" t="s">
        <v>97</v>
      </c>
      <c r="K12" s="16" t="s">
        <v>84</v>
      </c>
      <c r="L12" s="23" t="s">
        <v>194</v>
      </c>
      <c r="M12" s="23"/>
      <c r="N12" s="23"/>
      <c r="O12" s="23" t="s">
        <v>195</v>
      </c>
      <c r="P12" s="16">
        <v>0</v>
      </c>
      <c r="Q12" s="16">
        <v>0</v>
      </c>
      <c r="R12" s="24">
        <v>25</v>
      </c>
      <c r="S12" s="24">
        <v>4</v>
      </c>
      <c r="T12" s="25">
        <v>25</v>
      </c>
      <c r="U12" s="25">
        <v>7</v>
      </c>
      <c r="V12" s="16" t="s">
        <v>85</v>
      </c>
      <c r="W12" s="16"/>
      <c r="X12" s="16">
        <v>2007</v>
      </c>
      <c r="Y12" s="13"/>
      <c r="Z12" s="13"/>
      <c r="AA12" s="17" t="s">
        <v>196</v>
      </c>
      <c r="AB12" s="27" t="s">
        <v>197</v>
      </c>
      <c r="AC12" s="27" t="str">
        <f t="shared" si="0"/>
        <v>06</v>
      </c>
      <c r="AD12" s="28" t="str">
        <f t="shared" si="1"/>
        <v>1964</v>
      </c>
      <c r="AE12" s="44" t="s">
        <v>198</v>
      </c>
      <c r="AF12" s="30">
        <f t="shared" si="2"/>
        <v>2024</v>
      </c>
      <c r="AG12" s="31" t="s">
        <v>199</v>
      </c>
      <c r="AH12" s="32" t="s">
        <v>142</v>
      </c>
      <c r="AI12" s="31" t="s">
        <v>200</v>
      </c>
      <c r="AJ12" s="31" t="s">
        <v>88</v>
      </c>
      <c r="AK12" s="33" t="s">
        <v>201</v>
      </c>
      <c r="AL12" s="33">
        <v>4</v>
      </c>
      <c r="AM12" s="33">
        <v>8</v>
      </c>
      <c r="AN12" s="33"/>
      <c r="AO12" s="33" t="s">
        <v>202</v>
      </c>
      <c r="AP12" s="33" t="s">
        <v>203</v>
      </c>
      <c r="AQ12" s="33">
        <v>65323</v>
      </c>
      <c r="AR12" s="33" t="s">
        <v>204</v>
      </c>
      <c r="AS12" s="33" t="s">
        <v>205</v>
      </c>
      <c r="AT12" s="35" t="s">
        <v>206</v>
      </c>
      <c r="AU12" s="35" t="s">
        <v>207</v>
      </c>
      <c r="AV12" s="36" t="s">
        <v>195</v>
      </c>
      <c r="AW12" s="31" t="s">
        <v>208</v>
      </c>
      <c r="AX12" s="31" t="s">
        <v>209</v>
      </c>
      <c r="AY12" s="38" t="s">
        <v>210</v>
      </c>
      <c r="AZ12" s="31" t="s">
        <v>153</v>
      </c>
      <c r="BA12" s="39" t="s">
        <v>211</v>
      </c>
      <c r="BB12" s="39" t="s">
        <v>212</v>
      </c>
      <c r="BC12" s="23" t="s">
        <v>194</v>
      </c>
      <c r="BD12" s="33" t="s">
        <v>213</v>
      </c>
      <c r="BE12" s="40" t="str">
        <f t="shared" si="3"/>
        <v>IV/b</v>
      </c>
      <c r="BF12" s="41" t="s">
        <v>214</v>
      </c>
      <c r="BG12" s="41" t="s">
        <v>215</v>
      </c>
      <c r="BH12" s="33" t="s">
        <v>216</v>
      </c>
      <c r="BI12" s="33" t="s">
        <v>125</v>
      </c>
      <c r="BJ12" s="33" t="s">
        <v>217</v>
      </c>
      <c r="BK12" s="33"/>
      <c r="BL12" s="33" t="s">
        <v>128</v>
      </c>
      <c r="BM12" s="33" t="s">
        <v>129</v>
      </c>
      <c r="BN12" s="42" t="s">
        <v>218</v>
      </c>
      <c r="BO12" s="13" t="s">
        <v>219</v>
      </c>
      <c r="BP12" s="43" t="s">
        <v>220</v>
      </c>
      <c r="BQ12" s="13" t="s">
        <v>204</v>
      </c>
      <c r="BR12" s="13"/>
      <c r="BS12" s="13"/>
      <c r="BT12" s="13"/>
      <c r="BV12" s="14">
        <f t="shared" si="4"/>
        <v>26</v>
      </c>
      <c r="BW12" s="13"/>
      <c r="BX12" s="15">
        <f t="shared" si="5"/>
        <v>26</v>
      </c>
    </row>
    <row r="13" spans="1:77" s="3" customFormat="1" ht="18.75" customHeight="1" x14ac:dyDescent="0.25">
      <c r="A13" s="16">
        <v>6</v>
      </c>
      <c r="B13" s="13" t="s">
        <v>221</v>
      </c>
      <c r="C13" s="17" t="s">
        <v>222</v>
      </c>
      <c r="D13" s="18" t="s">
        <v>70</v>
      </c>
      <c r="E13" s="19"/>
      <c r="F13" s="19">
        <v>1</v>
      </c>
      <c r="G13" s="16" t="s">
        <v>223</v>
      </c>
      <c r="H13" s="16" t="s">
        <v>224</v>
      </c>
      <c r="I13" s="16" t="s">
        <v>82</v>
      </c>
      <c r="J13" s="17" t="s">
        <v>225</v>
      </c>
      <c r="K13" s="16" t="s">
        <v>226</v>
      </c>
      <c r="L13" s="23" t="s">
        <v>227</v>
      </c>
      <c r="M13" s="23"/>
      <c r="N13" s="23"/>
      <c r="O13" s="23" t="s">
        <v>228</v>
      </c>
      <c r="P13" s="16">
        <v>3</v>
      </c>
      <c r="Q13" s="16">
        <v>0</v>
      </c>
      <c r="R13" s="24">
        <v>33</v>
      </c>
      <c r="S13" s="24">
        <v>6</v>
      </c>
      <c r="T13" s="25">
        <v>38</v>
      </c>
      <c r="U13" s="25">
        <v>7</v>
      </c>
      <c r="V13" s="16" t="s">
        <v>85</v>
      </c>
      <c r="W13" s="16"/>
      <c r="X13" s="16">
        <v>2005</v>
      </c>
      <c r="Y13" s="13"/>
      <c r="Z13" s="13"/>
      <c r="AA13" s="17" t="s">
        <v>229</v>
      </c>
      <c r="AB13" s="27" t="s">
        <v>230</v>
      </c>
      <c r="AC13" s="27" t="str">
        <f t="shared" si="0"/>
        <v>04</v>
      </c>
      <c r="AD13" s="28" t="str">
        <f t="shared" si="1"/>
        <v>1964</v>
      </c>
      <c r="AE13" s="44" t="s">
        <v>231</v>
      </c>
      <c r="AF13" s="30">
        <f t="shared" si="2"/>
        <v>2024</v>
      </c>
      <c r="AG13" s="31" t="s">
        <v>232</v>
      </c>
      <c r="AH13" s="32" t="s">
        <v>105</v>
      </c>
      <c r="AI13" s="31" t="s">
        <v>233</v>
      </c>
      <c r="AJ13" s="31" t="s">
        <v>88</v>
      </c>
      <c r="AK13" s="33" t="s">
        <v>234</v>
      </c>
      <c r="AL13" s="33">
        <v>1</v>
      </c>
      <c r="AM13" s="33">
        <v>1</v>
      </c>
      <c r="AN13" s="33"/>
      <c r="AO13" s="33" t="s">
        <v>235</v>
      </c>
      <c r="AP13" s="33" t="s">
        <v>110</v>
      </c>
      <c r="AQ13" s="33">
        <v>65315</v>
      </c>
      <c r="AR13" s="33" t="s">
        <v>236</v>
      </c>
      <c r="AS13" s="33" t="s">
        <v>237</v>
      </c>
      <c r="AT13" s="35" t="s">
        <v>238</v>
      </c>
      <c r="AU13" s="35" t="s">
        <v>239</v>
      </c>
      <c r="AV13" s="36" t="s">
        <v>228</v>
      </c>
      <c r="AW13" s="31" t="s">
        <v>240</v>
      </c>
      <c r="AX13" s="31" t="s">
        <v>241</v>
      </c>
      <c r="AY13" s="38" t="s">
        <v>242</v>
      </c>
      <c r="AZ13" s="31" t="s">
        <v>153</v>
      </c>
      <c r="BA13" s="39" t="s">
        <v>243</v>
      </c>
      <c r="BB13" s="39" t="s">
        <v>244</v>
      </c>
      <c r="BC13" s="23" t="s">
        <v>227</v>
      </c>
      <c r="BD13" s="33" t="s">
        <v>121</v>
      </c>
      <c r="BE13" s="40" t="str">
        <f t="shared" si="3"/>
        <v>IV/a</v>
      </c>
      <c r="BF13" s="41" t="s">
        <v>245</v>
      </c>
      <c r="BG13" s="41" t="s">
        <v>215</v>
      </c>
      <c r="BH13" s="33" t="s">
        <v>246</v>
      </c>
      <c r="BI13" s="33" t="s">
        <v>125</v>
      </c>
      <c r="BJ13" s="33" t="s">
        <v>247</v>
      </c>
      <c r="BK13" s="33"/>
      <c r="BL13" s="33" t="s">
        <v>128</v>
      </c>
      <c r="BM13" s="33" t="s">
        <v>129</v>
      </c>
      <c r="BN13" s="42" t="s">
        <v>248</v>
      </c>
      <c r="BO13" s="13" t="s">
        <v>249</v>
      </c>
      <c r="BP13" s="43" t="s">
        <v>250</v>
      </c>
      <c r="BQ13" s="13" t="s">
        <v>236</v>
      </c>
      <c r="BR13" s="13"/>
      <c r="BS13" s="13"/>
      <c r="BT13" s="13"/>
      <c r="BV13" s="14">
        <f t="shared" si="4"/>
        <v>34</v>
      </c>
      <c r="BW13" s="13"/>
      <c r="BX13" s="15">
        <f t="shared" si="5"/>
        <v>39</v>
      </c>
    </row>
    <row r="14" spans="1:77" s="3" customFormat="1" ht="18.75" customHeight="1" x14ac:dyDescent="0.25">
      <c r="A14" s="16">
        <v>7</v>
      </c>
      <c r="B14" s="13" t="s">
        <v>251</v>
      </c>
      <c r="C14" s="17" t="s">
        <v>252</v>
      </c>
      <c r="D14" s="18" t="s">
        <v>69</v>
      </c>
      <c r="E14" s="19">
        <v>1</v>
      </c>
      <c r="F14" s="19"/>
      <c r="G14" s="16" t="s">
        <v>253</v>
      </c>
      <c r="H14" s="16" t="s">
        <v>254</v>
      </c>
      <c r="I14" s="16" t="s">
        <v>82</v>
      </c>
      <c r="J14" s="17" t="s">
        <v>225</v>
      </c>
      <c r="K14" s="16" t="s">
        <v>226</v>
      </c>
      <c r="L14" s="23" t="s">
        <v>255</v>
      </c>
      <c r="M14" s="23"/>
      <c r="N14" s="23"/>
      <c r="O14" s="23" t="s">
        <v>256</v>
      </c>
      <c r="P14" s="16">
        <v>3</v>
      </c>
      <c r="Q14" s="16">
        <v>0</v>
      </c>
      <c r="R14" s="24">
        <v>32</v>
      </c>
      <c r="S14" s="24">
        <v>8</v>
      </c>
      <c r="T14" s="25">
        <v>37</v>
      </c>
      <c r="U14" s="25">
        <v>8</v>
      </c>
      <c r="V14" s="16" t="s">
        <v>257</v>
      </c>
      <c r="W14" s="16"/>
      <c r="X14" s="16">
        <v>1997</v>
      </c>
      <c r="Y14" s="13"/>
      <c r="Z14" s="13"/>
      <c r="AA14" s="17" t="s">
        <v>258</v>
      </c>
      <c r="AB14" s="27" t="s">
        <v>259</v>
      </c>
      <c r="AC14" s="27" t="str">
        <f t="shared" si="0"/>
        <v>03</v>
      </c>
      <c r="AD14" s="28" t="str">
        <f t="shared" si="1"/>
        <v>1962</v>
      </c>
      <c r="AE14" s="44" t="s">
        <v>260</v>
      </c>
      <c r="AF14" s="30">
        <f t="shared" si="2"/>
        <v>2022</v>
      </c>
      <c r="AG14" s="31" t="s">
        <v>261</v>
      </c>
      <c r="AH14" s="32" t="s">
        <v>142</v>
      </c>
      <c r="AI14" s="31" t="s">
        <v>262</v>
      </c>
      <c r="AJ14" s="31" t="s">
        <v>88</v>
      </c>
      <c r="AK14" s="33" t="s">
        <v>263</v>
      </c>
      <c r="AL14" s="33">
        <v>18</v>
      </c>
      <c r="AM14" s="33">
        <v>4</v>
      </c>
      <c r="AN14" s="33" t="s">
        <v>264</v>
      </c>
      <c r="AO14" s="33" t="s">
        <v>265</v>
      </c>
      <c r="AP14" s="33" t="s">
        <v>266</v>
      </c>
      <c r="AQ14" s="33">
        <v>65152</v>
      </c>
      <c r="AR14" s="33" t="s">
        <v>267</v>
      </c>
      <c r="AS14" s="33" t="s">
        <v>268</v>
      </c>
      <c r="AT14" s="35" t="s">
        <v>269</v>
      </c>
      <c r="AU14" s="35" t="s">
        <v>270</v>
      </c>
      <c r="AV14" s="36" t="s">
        <v>256</v>
      </c>
      <c r="AW14" s="31" t="s">
        <v>271</v>
      </c>
      <c r="AX14" s="31" t="s">
        <v>272</v>
      </c>
      <c r="AY14" s="38" t="s">
        <v>273</v>
      </c>
      <c r="AZ14" s="31" t="s">
        <v>153</v>
      </c>
      <c r="BA14" s="39" t="s">
        <v>274</v>
      </c>
      <c r="BB14" s="39" t="s">
        <v>275</v>
      </c>
      <c r="BC14" s="23" t="s">
        <v>255</v>
      </c>
      <c r="BD14" s="33" t="s">
        <v>121</v>
      </c>
      <c r="BE14" s="40" t="str">
        <f t="shared" si="3"/>
        <v>IV/a</v>
      </c>
      <c r="BF14" s="41" t="s">
        <v>245</v>
      </c>
      <c r="BG14" s="41" t="s">
        <v>276</v>
      </c>
      <c r="BH14" s="33" t="s">
        <v>277</v>
      </c>
      <c r="BI14" s="33" t="s">
        <v>125</v>
      </c>
      <c r="BJ14" s="33" t="s">
        <v>278</v>
      </c>
      <c r="BK14" s="33" t="s">
        <v>279</v>
      </c>
      <c r="BL14" s="33" t="s">
        <v>128</v>
      </c>
      <c r="BM14" s="33" t="s">
        <v>129</v>
      </c>
      <c r="BN14" s="42" t="s">
        <v>280</v>
      </c>
      <c r="BO14" s="13" t="s">
        <v>281</v>
      </c>
      <c r="BP14" s="43" t="s">
        <v>282</v>
      </c>
      <c r="BQ14" s="13" t="s">
        <v>267</v>
      </c>
      <c r="BR14" s="13"/>
      <c r="BS14" s="13"/>
      <c r="BT14" s="13"/>
      <c r="BV14" s="14">
        <f t="shared" si="4"/>
        <v>33</v>
      </c>
      <c r="BW14" s="13"/>
      <c r="BX14" s="15">
        <f t="shared" si="5"/>
        <v>38</v>
      </c>
    </row>
    <row r="15" spans="1:77" s="45" customFormat="1" ht="18.75" customHeight="1" x14ac:dyDescent="0.25">
      <c r="A15" s="16">
        <v>8</v>
      </c>
      <c r="B15" s="13" t="s">
        <v>283</v>
      </c>
      <c r="C15" s="17" t="s">
        <v>284</v>
      </c>
      <c r="D15" s="18" t="s">
        <v>70</v>
      </c>
      <c r="E15" s="19"/>
      <c r="F15" s="19">
        <v>1</v>
      </c>
      <c r="G15" s="16" t="s">
        <v>285</v>
      </c>
      <c r="H15" s="16" t="s">
        <v>286</v>
      </c>
      <c r="I15" s="16" t="s">
        <v>82</v>
      </c>
      <c r="J15" s="17" t="s">
        <v>225</v>
      </c>
      <c r="K15" s="16" t="s">
        <v>226</v>
      </c>
      <c r="L15" s="23" t="s">
        <v>287</v>
      </c>
      <c r="M15" s="23"/>
      <c r="N15" s="23"/>
      <c r="O15" s="23" t="s">
        <v>99</v>
      </c>
      <c r="P15" s="16">
        <v>3</v>
      </c>
      <c r="Q15" s="16">
        <v>0</v>
      </c>
      <c r="R15" s="24">
        <v>32</v>
      </c>
      <c r="S15" s="24">
        <v>7</v>
      </c>
      <c r="T15" s="25">
        <v>37</v>
      </c>
      <c r="U15" s="25">
        <v>7</v>
      </c>
      <c r="V15" s="16" t="s">
        <v>257</v>
      </c>
      <c r="W15" s="16"/>
      <c r="X15" s="16">
        <v>1997</v>
      </c>
      <c r="Y15" s="13"/>
      <c r="Z15" s="13"/>
      <c r="AA15" s="17" t="s">
        <v>288</v>
      </c>
      <c r="AB15" s="27" t="s">
        <v>289</v>
      </c>
      <c r="AC15" s="27" t="str">
        <f t="shared" si="0"/>
        <v>11</v>
      </c>
      <c r="AD15" s="28" t="str">
        <f t="shared" si="1"/>
        <v>1961</v>
      </c>
      <c r="AE15" s="44" t="s">
        <v>290</v>
      </c>
      <c r="AF15" s="30">
        <f t="shared" si="2"/>
        <v>2021</v>
      </c>
      <c r="AG15" s="31" t="s">
        <v>291</v>
      </c>
      <c r="AH15" s="32" t="s">
        <v>292</v>
      </c>
      <c r="AI15" s="31" t="s">
        <v>293</v>
      </c>
      <c r="AJ15" s="31" t="s">
        <v>88</v>
      </c>
      <c r="AK15" s="33" t="s">
        <v>294</v>
      </c>
      <c r="AL15" s="33">
        <v>9</v>
      </c>
      <c r="AM15" s="33">
        <v>1</v>
      </c>
      <c r="AN15" s="33" t="s">
        <v>124</v>
      </c>
      <c r="AO15" s="33" t="s">
        <v>295</v>
      </c>
      <c r="AP15" s="33" t="s">
        <v>296</v>
      </c>
      <c r="AQ15" s="33">
        <v>65145</v>
      </c>
      <c r="AR15" s="33" t="s">
        <v>297</v>
      </c>
      <c r="AS15" s="33" t="s">
        <v>298</v>
      </c>
      <c r="AT15" s="35" t="s">
        <v>299</v>
      </c>
      <c r="AU15" s="35" t="s">
        <v>114</v>
      </c>
      <c r="AV15" s="36" t="s">
        <v>99</v>
      </c>
      <c r="AW15" s="31" t="s">
        <v>300</v>
      </c>
      <c r="AX15" s="31" t="s">
        <v>116</v>
      </c>
      <c r="AY15" s="38" t="s">
        <v>117</v>
      </c>
      <c r="AZ15" s="31" t="s">
        <v>153</v>
      </c>
      <c r="BA15" s="39" t="s">
        <v>301</v>
      </c>
      <c r="BB15" s="39" t="s">
        <v>302</v>
      </c>
      <c r="BC15" s="23" t="s">
        <v>287</v>
      </c>
      <c r="BD15" s="33" t="s">
        <v>121</v>
      </c>
      <c r="BE15" s="40" t="str">
        <f t="shared" si="3"/>
        <v>IV/a</v>
      </c>
      <c r="BF15" s="41" t="s">
        <v>214</v>
      </c>
      <c r="BG15" s="41" t="s">
        <v>215</v>
      </c>
      <c r="BH15" s="33" t="s">
        <v>124</v>
      </c>
      <c r="BI15" s="33" t="s">
        <v>303</v>
      </c>
      <c r="BJ15" s="33" t="s">
        <v>304</v>
      </c>
      <c r="BK15" s="33"/>
      <c r="BL15" s="33" t="s">
        <v>305</v>
      </c>
      <c r="BM15" s="33" t="s">
        <v>129</v>
      </c>
      <c r="BN15" s="42" t="s">
        <v>306</v>
      </c>
      <c r="BO15" s="13" t="s">
        <v>307</v>
      </c>
      <c r="BP15" s="43" t="s">
        <v>308</v>
      </c>
      <c r="BQ15" s="13" t="s">
        <v>309</v>
      </c>
      <c r="BR15" s="13"/>
      <c r="BS15" s="13"/>
      <c r="BT15" s="13"/>
      <c r="BU15" s="3"/>
      <c r="BV15" s="14">
        <f t="shared" si="4"/>
        <v>33</v>
      </c>
      <c r="BW15" s="13"/>
      <c r="BX15" s="15">
        <f t="shared" si="5"/>
        <v>38</v>
      </c>
    </row>
    <row r="16" spans="1:77" s="3" customFormat="1" ht="18.75" customHeight="1" x14ac:dyDescent="0.25">
      <c r="A16" s="16">
        <v>9</v>
      </c>
      <c r="B16" s="13" t="s">
        <v>310</v>
      </c>
      <c r="C16" s="17" t="s">
        <v>311</v>
      </c>
      <c r="D16" s="18" t="s">
        <v>70</v>
      </c>
      <c r="E16" s="19"/>
      <c r="F16" s="19">
        <v>1</v>
      </c>
      <c r="G16" s="16" t="s">
        <v>312</v>
      </c>
      <c r="H16" s="16" t="s">
        <v>313</v>
      </c>
      <c r="I16" s="16" t="s">
        <v>82</v>
      </c>
      <c r="J16" s="17" t="s">
        <v>225</v>
      </c>
      <c r="K16" s="16" t="s">
        <v>226</v>
      </c>
      <c r="L16" s="23" t="s">
        <v>287</v>
      </c>
      <c r="M16" s="23"/>
      <c r="N16" s="23"/>
      <c r="O16" s="23" t="s">
        <v>99</v>
      </c>
      <c r="P16" s="16">
        <v>3</v>
      </c>
      <c r="Q16" s="16">
        <v>0</v>
      </c>
      <c r="R16" s="24">
        <v>32</v>
      </c>
      <c r="S16" s="24">
        <v>7</v>
      </c>
      <c r="T16" s="25">
        <v>37</v>
      </c>
      <c r="U16" s="25">
        <v>7</v>
      </c>
      <c r="V16" s="16" t="s">
        <v>257</v>
      </c>
      <c r="W16" s="16"/>
      <c r="X16" s="16">
        <v>1998</v>
      </c>
      <c r="Y16" s="13"/>
      <c r="Z16" s="13"/>
      <c r="AA16" s="17" t="s">
        <v>314</v>
      </c>
      <c r="AB16" s="27" t="s">
        <v>315</v>
      </c>
      <c r="AC16" s="27" t="str">
        <f t="shared" si="0"/>
        <v>08</v>
      </c>
      <c r="AD16" s="28" t="str">
        <f t="shared" si="1"/>
        <v>1963</v>
      </c>
      <c r="AE16" s="44" t="s">
        <v>316</v>
      </c>
      <c r="AF16" s="30">
        <f t="shared" si="2"/>
        <v>2023</v>
      </c>
      <c r="AG16" s="31" t="s">
        <v>317</v>
      </c>
      <c r="AH16" s="32" t="s">
        <v>105</v>
      </c>
      <c r="AI16" s="31" t="s">
        <v>318</v>
      </c>
      <c r="AJ16" s="31" t="s">
        <v>88</v>
      </c>
      <c r="AK16" s="33" t="s">
        <v>319</v>
      </c>
      <c r="AL16" s="33">
        <v>3</v>
      </c>
      <c r="AM16" s="33">
        <v>4</v>
      </c>
      <c r="AN16" s="33" t="s">
        <v>320</v>
      </c>
      <c r="AO16" s="33" t="s">
        <v>320</v>
      </c>
      <c r="AP16" s="33" t="s">
        <v>321</v>
      </c>
      <c r="AQ16" s="33">
        <v>65151</v>
      </c>
      <c r="AR16" s="33" t="s">
        <v>322</v>
      </c>
      <c r="AS16" s="33" t="s">
        <v>323</v>
      </c>
      <c r="AT16" s="35" t="s">
        <v>324</v>
      </c>
      <c r="AU16" s="35" t="s">
        <v>114</v>
      </c>
      <c r="AV16" s="36" t="s">
        <v>99</v>
      </c>
      <c r="AW16" s="31" t="s">
        <v>325</v>
      </c>
      <c r="AX16" s="31" t="s">
        <v>326</v>
      </c>
      <c r="AY16" s="38" t="s">
        <v>327</v>
      </c>
      <c r="AZ16" s="31" t="s">
        <v>153</v>
      </c>
      <c r="BA16" s="39" t="s">
        <v>301</v>
      </c>
      <c r="BB16" s="39" t="s">
        <v>302</v>
      </c>
      <c r="BC16" s="23" t="s">
        <v>287</v>
      </c>
      <c r="BD16" s="33" t="s">
        <v>121</v>
      </c>
      <c r="BE16" s="40" t="str">
        <f t="shared" si="3"/>
        <v>IV/a</v>
      </c>
      <c r="BF16" s="41" t="s">
        <v>245</v>
      </c>
      <c r="BG16" s="41" t="s">
        <v>215</v>
      </c>
      <c r="BH16" s="33" t="s">
        <v>124</v>
      </c>
      <c r="BI16" s="33" t="s">
        <v>125</v>
      </c>
      <c r="BJ16" s="33" t="s">
        <v>328</v>
      </c>
      <c r="BK16" s="33"/>
      <c r="BL16" s="33" t="s">
        <v>329</v>
      </c>
      <c r="BM16" s="33" t="s">
        <v>129</v>
      </c>
      <c r="BN16" s="42" t="s">
        <v>330</v>
      </c>
      <c r="BO16" s="13" t="s">
        <v>331</v>
      </c>
      <c r="BP16" s="43" t="s">
        <v>332</v>
      </c>
      <c r="BQ16" s="13" t="s">
        <v>322</v>
      </c>
      <c r="BR16" s="13"/>
      <c r="BS16" s="13"/>
      <c r="BT16" s="13"/>
      <c r="BV16" s="14">
        <f t="shared" si="4"/>
        <v>33</v>
      </c>
      <c r="BW16" s="13"/>
      <c r="BX16" s="15">
        <f t="shared" si="5"/>
        <v>38</v>
      </c>
    </row>
    <row r="17" spans="1:76" s="3" customFormat="1" ht="18.75" customHeight="1" x14ac:dyDescent="0.25">
      <c r="A17" s="16">
        <v>10</v>
      </c>
      <c r="B17" s="13" t="s">
        <v>333</v>
      </c>
      <c r="C17" s="17" t="s">
        <v>334</v>
      </c>
      <c r="D17" s="18" t="s">
        <v>70</v>
      </c>
      <c r="E17" s="19"/>
      <c r="F17" s="19">
        <v>1</v>
      </c>
      <c r="G17" s="16" t="s">
        <v>335</v>
      </c>
      <c r="H17" s="16" t="s">
        <v>336</v>
      </c>
      <c r="I17" s="16" t="s">
        <v>82</v>
      </c>
      <c r="J17" s="17" t="s">
        <v>225</v>
      </c>
      <c r="K17" s="16" t="s">
        <v>226</v>
      </c>
      <c r="L17" s="23" t="s">
        <v>337</v>
      </c>
      <c r="M17" s="23"/>
      <c r="N17" s="23"/>
      <c r="O17" s="23" t="s">
        <v>338</v>
      </c>
      <c r="P17" s="16">
        <v>0</v>
      </c>
      <c r="Q17" s="16">
        <v>0</v>
      </c>
      <c r="R17" s="24">
        <v>31</v>
      </c>
      <c r="S17" s="24">
        <v>4</v>
      </c>
      <c r="T17" s="25">
        <v>31</v>
      </c>
      <c r="U17" s="25">
        <v>4</v>
      </c>
      <c r="V17" s="16" t="s">
        <v>257</v>
      </c>
      <c r="W17" s="16"/>
      <c r="X17" s="16">
        <v>1987</v>
      </c>
      <c r="Y17" s="13"/>
      <c r="Z17" s="13"/>
      <c r="AA17" s="17" t="s">
        <v>339</v>
      </c>
      <c r="AB17" s="27" t="s">
        <v>340</v>
      </c>
      <c r="AC17" s="27" t="str">
        <f t="shared" si="0"/>
        <v>05</v>
      </c>
      <c r="AD17" s="28" t="str">
        <f t="shared" si="1"/>
        <v>1962</v>
      </c>
      <c r="AE17" s="44" t="s">
        <v>341</v>
      </c>
      <c r="AF17" s="30">
        <f t="shared" si="2"/>
        <v>2022</v>
      </c>
      <c r="AG17" s="31" t="s">
        <v>342</v>
      </c>
      <c r="AH17" s="32" t="s">
        <v>105</v>
      </c>
      <c r="AI17" s="31" t="s">
        <v>343</v>
      </c>
      <c r="AJ17" s="31" t="s">
        <v>88</v>
      </c>
      <c r="AK17" s="33" t="s">
        <v>344</v>
      </c>
      <c r="AL17" s="33">
        <v>3</v>
      </c>
      <c r="AM17" s="33">
        <v>3</v>
      </c>
      <c r="AN17" s="33" t="s">
        <v>320</v>
      </c>
      <c r="AO17" s="33" t="s">
        <v>320</v>
      </c>
      <c r="AP17" s="33" t="s">
        <v>321</v>
      </c>
      <c r="AQ17" s="33">
        <v>65151</v>
      </c>
      <c r="AR17" s="33" t="s">
        <v>345</v>
      </c>
      <c r="AS17" s="33" t="s">
        <v>346</v>
      </c>
      <c r="AT17" s="35" t="s">
        <v>347</v>
      </c>
      <c r="AU17" s="35" t="s">
        <v>348</v>
      </c>
      <c r="AV17" s="36" t="s">
        <v>338</v>
      </c>
      <c r="AW17" s="31" t="s">
        <v>349</v>
      </c>
      <c r="AX17" s="31" t="s">
        <v>350</v>
      </c>
      <c r="AY17" s="38" t="s">
        <v>351</v>
      </c>
      <c r="AZ17" s="31" t="s">
        <v>153</v>
      </c>
      <c r="BA17" s="39" t="s">
        <v>352</v>
      </c>
      <c r="BB17" s="39" t="s">
        <v>353</v>
      </c>
      <c r="BC17" s="23" t="s">
        <v>337</v>
      </c>
      <c r="BD17" s="33" t="s">
        <v>121</v>
      </c>
      <c r="BE17" s="40" t="str">
        <f t="shared" si="3"/>
        <v>IV/a</v>
      </c>
      <c r="BF17" s="41" t="s">
        <v>214</v>
      </c>
      <c r="BG17" s="41" t="s">
        <v>215</v>
      </c>
      <c r="BH17" s="33" t="s">
        <v>124</v>
      </c>
      <c r="BI17" s="33" t="s">
        <v>125</v>
      </c>
      <c r="BJ17" s="33" t="s">
        <v>354</v>
      </c>
      <c r="BK17" s="33" t="s">
        <v>355</v>
      </c>
      <c r="BL17" s="33" t="s">
        <v>128</v>
      </c>
      <c r="BM17" s="33" t="s">
        <v>129</v>
      </c>
      <c r="BN17" s="42" t="s">
        <v>356</v>
      </c>
      <c r="BO17" s="13" t="s">
        <v>357</v>
      </c>
      <c r="BP17" s="43" t="s">
        <v>358</v>
      </c>
      <c r="BQ17" s="13" t="s">
        <v>345</v>
      </c>
      <c r="BR17" s="13"/>
      <c r="BS17" s="13"/>
      <c r="BT17" s="13"/>
      <c r="BV17" s="14">
        <f t="shared" si="4"/>
        <v>32</v>
      </c>
      <c r="BW17" s="13"/>
      <c r="BX17" s="15">
        <f t="shared" si="5"/>
        <v>32</v>
      </c>
    </row>
    <row r="18" spans="1:76" s="3" customFormat="1" ht="18.75" customHeight="1" x14ac:dyDescent="0.25">
      <c r="A18" s="16">
        <v>11</v>
      </c>
      <c r="B18" s="13" t="s">
        <v>359</v>
      </c>
      <c r="C18" s="17" t="s">
        <v>360</v>
      </c>
      <c r="D18" s="18" t="s">
        <v>70</v>
      </c>
      <c r="E18" s="19"/>
      <c r="F18" s="19">
        <v>1</v>
      </c>
      <c r="G18" s="16" t="s">
        <v>361</v>
      </c>
      <c r="H18" s="16" t="s">
        <v>362</v>
      </c>
      <c r="I18" s="16" t="s">
        <v>82</v>
      </c>
      <c r="J18" s="17" t="s">
        <v>225</v>
      </c>
      <c r="K18" s="16" t="s">
        <v>226</v>
      </c>
      <c r="L18" s="23" t="s">
        <v>255</v>
      </c>
      <c r="M18" s="23"/>
      <c r="N18" s="23"/>
      <c r="O18" s="23" t="s">
        <v>363</v>
      </c>
      <c r="P18" s="16">
        <v>0</v>
      </c>
      <c r="Q18" s="16">
        <v>0</v>
      </c>
      <c r="R18" s="24">
        <v>31</v>
      </c>
      <c r="S18" s="24">
        <v>5</v>
      </c>
      <c r="T18" s="25">
        <v>31</v>
      </c>
      <c r="U18" s="25">
        <v>5</v>
      </c>
      <c r="V18" s="16" t="s">
        <v>257</v>
      </c>
      <c r="W18" s="16"/>
      <c r="X18" s="16">
        <v>1982</v>
      </c>
      <c r="Y18" s="13"/>
      <c r="Z18" s="13"/>
      <c r="AA18" s="17" t="s">
        <v>364</v>
      </c>
      <c r="AB18" s="27" t="s">
        <v>365</v>
      </c>
      <c r="AC18" s="27" t="str">
        <f t="shared" si="0"/>
        <v>12</v>
      </c>
      <c r="AD18" s="28" t="str">
        <f t="shared" si="1"/>
        <v>1961</v>
      </c>
      <c r="AE18" s="44" t="s">
        <v>366</v>
      </c>
      <c r="AF18" s="30">
        <f>AD18+60+1</f>
        <v>2022</v>
      </c>
      <c r="AG18" s="31" t="s">
        <v>367</v>
      </c>
      <c r="AH18" s="32" t="s">
        <v>292</v>
      </c>
      <c r="AI18" s="31" t="s">
        <v>368</v>
      </c>
      <c r="AJ18" s="31" t="s">
        <v>88</v>
      </c>
      <c r="AK18" s="33" t="s">
        <v>369</v>
      </c>
      <c r="AL18" s="33">
        <v>1</v>
      </c>
      <c r="AM18" s="33">
        <v>1</v>
      </c>
      <c r="AN18" s="33" t="s">
        <v>235</v>
      </c>
      <c r="AO18" s="33" t="s">
        <v>235</v>
      </c>
      <c r="AP18" s="33" t="s">
        <v>110</v>
      </c>
      <c r="AQ18" s="33">
        <v>65314</v>
      </c>
      <c r="AR18" s="33" t="s">
        <v>370</v>
      </c>
      <c r="AS18" s="33" t="s">
        <v>371</v>
      </c>
      <c r="AT18" s="35" t="s">
        <v>372</v>
      </c>
      <c r="AU18" s="35" t="s">
        <v>373</v>
      </c>
      <c r="AV18" s="36" t="s">
        <v>363</v>
      </c>
      <c r="AW18" s="31" t="s">
        <v>374</v>
      </c>
      <c r="AX18" s="31" t="s">
        <v>375</v>
      </c>
      <c r="AY18" s="38" t="s">
        <v>376</v>
      </c>
      <c r="AZ18" s="31" t="s">
        <v>153</v>
      </c>
      <c r="BA18" s="39" t="s">
        <v>377</v>
      </c>
      <c r="BB18" s="39" t="s">
        <v>377</v>
      </c>
      <c r="BC18" s="23" t="s">
        <v>255</v>
      </c>
      <c r="BD18" s="33" t="s">
        <v>121</v>
      </c>
      <c r="BE18" s="40" t="str">
        <f t="shared" si="3"/>
        <v>IV/a</v>
      </c>
      <c r="BF18" s="41" t="s">
        <v>378</v>
      </c>
      <c r="BG18" s="41" t="s">
        <v>215</v>
      </c>
      <c r="BH18" s="33" t="s">
        <v>124</v>
      </c>
      <c r="BI18" s="33" t="s">
        <v>125</v>
      </c>
      <c r="BJ18" s="33" t="s">
        <v>379</v>
      </c>
      <c r="BK18" s="33" t="s">
        <v>380</v>
      </c>
      <c r="BL18" s="33" t="s">
        <v>128</v>
      </c>
      <c r="BM18" s="33" t="s">
        <v>129</v>
      </c>
      <c r="BN18" s="42" t="s">
        <v>381</v>
      </c>
      <c r="BO18" s="13" t="s">
        <v>382</v>
      </c>
      <c r="BP18" s="43" t="s">
        <v>383</v>
      </c>
      <c r="BQ18" s="13" t="s">
        <v>384</v>
      </c>
      <c r="BR18" s="13"/>
      <c r="BS18" s="13"/>
      <c r="BT18" s="13"/>
      <c r="BV18" s="14">
        <f t="shared" si="4"/>
        <v>32</v>
      </c>
      <c r="BW18" s="13"/>
      <c r="BX18" s="15">
        <f t="shared" si="5"/>
        <v>32</v>
      </c>
    </row>
    <row r="19" spans="1:76" s="3" customFormat="1" ht="18.75" customHeight="1" x14ac:dyDescent="0.25">
      <c r="A19" s="16">
        <v>12</v>
      </c>
      <c r="B19" s="13" t="s">
        <v>385</v>
      </c>
      <c r="C19" s="17" t="s">
        <v>386</v>
      </c>
      <c r="D19" s="18" t="s">
        <v>70</v>
      </c>
      <c r="E19" s="19"/>
      <c r="F19" s="19">
        <v>1</v>
      </c>
      <c r="G19" s="16" t="s">
        <v>387</v>
      </c>
      <c r="H19" s="16" t="s">
        <v>388</v>
      </c>
      <c r="I19" s="16" t="s">
        <v>82</v>
      </c>
      <c r="J19" s="17" t="s">
        <v>225</v>
      </c>
      <c r="K19" s="16" t="s">
        <v>226</v>
      </c>
      <c r="L19" s="23" t="s">
        <v>287</v>
      </c>
      <c r="M19" s="23"/>
      <c r="N19" s="23"/>
      <c r="O19" s="23" t="s">
        <v>138</v>
      </c>
      <c r="P19" s="16">
        <v>3</v>
      </c>
      <c r="Q19" s="16">
        <v>0</v>
      </c>
      <c r="R19" s="24">
        <v>31</v>
      </c>
      <c r="S19" s="24">
        <v>4</v>
      </c>
      <c r="T19" s="25">
        <v>36</v>
      </c>
      <c r="U19" s="25">
        <v>4</v>
      </c>
      <c r="V19" s="16" t="s">
        <v>257</v>
      </c>
      <c r="W19" s="16"/>
      <c r="X19" s="16">
        <v>1998</v>
      </c>
      <c r="Y19" s="13"/>
      <c r="Z19" s="13"/>
      <c r="AA19" s="17" t="s">
        <v>364</v>
      </c>
      <c r="AB19" s="27" t="s">
        <v>389</v>
      </c>
      <c r="AC19" s="27" t="str">
        <f t="shared" si="0"/>
        <v>06</v>
      </c>
      <c r="AD19" s="28" t="str">
        <f t="shared" si="1"/>
        <v>1963</v>
      </c>
      <c r="AE19" s="44" t="s">
        <v>390</v>
      </c>
      <c r="AF19" s="30">
        <f t="shared" ref="AF19:AF24" si="6">AD19+60</f>
        <v>2023</v>
      </c>
      <c r="AG19" s="31" t="s">
        <v>391</v>
      </c>
      <c r="AH19" s="32" t="s">
        <v>292</v>
      </c>
      <c r="AI19" s="31" t="s">
        <v>392</v>
      </c>
      <c r="AJ19" s="31" t="s">
        <v>88</v>
      </c>
      <c r="AK19" s="33" t="s">
        <v>393</v>
      </c>
      <c r="AL19" s="33">
        <v>33</v>
      </c>
      <c r="AM19" s="33">
        <v>11</v>
      </c>
      <c r="AN19" s="33" t="s">
        <v>394</v>
      </c>
      <c r="AO19" s="33" t="s">
        <v>394</v>
      </c>
      <c r="AP19" s="33" t="s">
        <v>266</v>
      </c>
      <c r="AQ19" s="33">
        <v>65152</v>
      </c>
      <c r="AR19" s="33" t="s">
        <v>395</v>
      </c>
      <c r="AS19" s="33" t="s">
        <v>396</v>
      </c>
      <c r="AT19" s="35" t="s">
        <v>397</v>
      </c>
      <c r="AU19" s="35" t="s">
        <v>398</v>
      </c>
      <c r="AV19" s="36" t="s">
        <v>138</v>
      </c>
      <c r="AW19" s="31" t="s">
        <v>399</v>
      </c>
      <c r="AX19" s="31" t="s">
        <v>400</v>
      </c>
      <c r="AY19" s="38" t="s">
        <v>401</v>
      </c>
      <c r="AZ19" s="31" t="s">
        <v>153</v>
      </c>
      <c r="BA19" s="39" t="s">
        <v>301</v>
      </c>
      <c r="BB19" s="39" t="s">
        <v>302</v>
      </c>
      <c r="BC19" s="23" t="s">
        <v>287</v>
      </c>
      <c r="BD19" s="33" t="s">
        <v>121</v>
      </c>
      <c r="BE19" s="40" t="str">
        <f t="shared" si="3"/>
        <v>IV/a</v>
      </c>
      <c r="BF19" s="41" t="s">
        <v>245</v>
      </c>
      <c r="BG19" s="41" t="s">
        <v>215</v>
      </c>
      <c r="BH19" s="33" t="s">
        <v>124</v>
      </c>
      <c r="BI19" s="33" t="s">
        <v>303</v>
      </c>
      <c r="BJ19" s="33" t="s">
        <v>304</v>
      </c>
      <c r="BK19" s="33"/>
      <c r="BL19" s="33" t="s">
        <v>305</v>
      </c>
      <c r="BM19" s="33" t="s">
        <v>129</v>
      </c>
      <c r="BN19" s="42" t="s">
        <v>402</v>
      </c>
      <c r="BO19" s="13" t="s">
        <v>403</v>
      </c>
      <c r="BP19" s="43" t="s">
        <v>404</v>
      </c>
      <c r="BQ19" s="13" t="s">
        <v>395</v>
      </c>
      <c r="BR19" s="13"/>
      <c r="BS19" s="13"/>
      <c r="BT19" s="13"/>
      <c r="BV19" s="14">
        <f t="shared" si="4"/>
        <v>32</v>
      </c>
      <c r="BW19" s="13"/>
      <c r="BX19" s="15">
        <f t="shared" si="5"/>
        <v>37</v>
      </c>
    </row>
    <row r="20" spans="1:76" s="3" customFormat="1" ht="18.75" customHeight="1" x14ac:dyDescent="0.25">
      <c r="A20" s="16">
        <v>13</v>
      </c>
      <c r="B20" s="13" t="s">
        <v>405</v>
      </c>
      <c r="C20" s="17" t="s">
        <v>406</v>
      </c>
      <c r="D20" s="18" t="s">
        <v>70</v>
      </c>
      <c r="E20" s="19"/>
      <c r="F20" s="19">
        <v>1</v>
      </c>
      <c r="G20" s="16" t="s">
        <v>407</v>
      </c>
      <c r="H20" s="16" t="s">
        <v>408</v>
      </c>
      <c r="I20" s="16" t="s">
        <v>82</v>
      </c>
      <c r="J20" s="17" t="s">
        <v>225</v>
      </c>
      <c r="K20" s="16" t="s">
        <v>226</v>
      </c>
      <c r="L20" s="23" t="s">
        <v>255</v>
      </c>
      <c r="M20" s="23"/>
      <c r="N20" s="23"/>
      <c r="O20" s="23" t="s">
        <v>167</v>
      </c>
      <c r="P20" s="16">
        <v>3</v>
      </c>
      <c r="Q20" s="16">
        <v>0</v>
      </c>
      <c r="R20" s="24">
        <v>30</v>
      </c>
      <c r="S20" s="24">
        <v>4</v>
      </c>
      <c r="T20" s="25">
        <v>35</v>
      </c>
      <c r="U20" s="25">
        <v>4</v>
      </c>
      <c r="V20" s="16" t="s">
        <v>85</v>
      </c>
      <c r="W20" s="16"/>
      <c r="X20" s="16">
        <v>2012</v>
      </c>
      <c r="Y20" s="13"/>
      <c r="Z20" s="13"/>
      <c r="AA20" s="17" t="s">
        <v>101</v>
      </c>
      <c r="AB20" s="27" t="s">
        <v>409</v>
      </c>
      <c r="AC20" s="27" t="str">
        <f t="shared" si="0"/>
        <v>08</v>
      </c>
      <c r="AD20" s="28" t="str">
        <f t="shared" si="1"/>
        <v>1965</v>
      </c>
      <c r="AE20" s="44" t="s">
        <v>410</v>
      </c>
      <c r="AF20" s="30">
        <f t="shared" si="6"/>
        <v>2025</v>
      </c>
      <c r="AG20" s="31" t="s">
        <v>411</v>
      </c>
      <c r="AH20" s="32" t="s">
        <v>105</v>
      </c>
      <c r="AI20" s="31" t="s">
        <v>412</v>
      </c>
      <c r="AJ20" s="31" t="s">
        <v>88</v>
      </c>
      <c r="AK20" s="33" t="s">
        <v>413</v>
      </c>
      <c r="AL20" s="33">
        <v>4</v>
      </c>
      <c r="AM20" s="33">
        <v>5</v>
      </c>
      <c r="AN20" s="33" t="s">
        <v>414</v>
      </c>
      <c r="AO20" s="33" t="s">
        <v>414</v>
      </c>
      <c r="AP20" s="33" t="s">
        <v>203</v>
      </c>
      <c r="AQ20" s="33">
        <v>66326</v>
      </c>
      <c r="AR20" s="33" t="s">
        <v>415</v>
      </c>
      <c r="AS20" s="33" t="s">
        <v>416</v>
      </c>
      <c r="AT20" s="35" t="s">
        <v>417</v>
      </c>
      <c r="AU20" s="35" t="s">
        <v>178</v>
      </c>
      <c r="AV20" s="36" t="s">
        <v>167</v>
      </c>
      <c r="AW20" s="31" t="s">
        <v>418</v>
      </c>
      <c r="AX20" s="31" t="s">
        <v>419</v>
      </c>
      <c r="AY20" s="38" t="s">
        <v>420</v>
      </c>
      <c r="AZ20" s="31" t="s">
        <v>153</v>
      </c>
      <c r="BA20" s="39" t="s">
        <v>274</v>
      </c>
      <c r="BB20" s="39" t="s">
        <v>275</v>
      </c>
      <c r="BC20" s="23" t="s">
        <v>255</v>
      </c>
      <c r="BD20" s="33" t="s">
        <v>121</v>
      </c>
      <c r="BE20" s="40" t="str">
        <f t="shared" si="3"/>
        <v>IV/a</v>
      </c>
      <c r="BF20" s="41" t="s">
        <v>214</v>
      </c>
      <c r="BG20" s="41" t="s">
        <v>215</v>
      </c>
      <c r="BH20" s="33" t="s">
        <v>124</v>
      </c>
      <c r="BI20" s="33" t="s">
        <v>421</v>
      </c>
      <c r="BJ20" s="33" t="s">
        <v>304</v>
      </c>
      <c r="BK20" s="33"/>
      <c r="BL20" s="33" t="s">
        <v>305</v>
      </c>
      <c r="BM20" s="33" t="s">
        <v>129</v>
      </c>
      <c r="BN20" s="42" t="s">
        <v>422</v>
      </c>
      <c r="BO20" s="13" t="s">
        <v>423</v>
      </c>
      <c r="BP20" s="43" t="s">
        <v>424</v>
      </c>
      <c r="BQ20" s="13" t="s">
        <v>425</v>
      </c>
      <c r="BR20" s="13"/>
      <c r="BS20" s="13"/>
      <c r="BT20" s="13"/>
      <c r="BV20" s="14">
        <f t="shared" si="4"/>
        <v>31</v>
      </c>
      <c r="BW20" s="13"/>
      <c r="BX20" s="15">
        <f t="shared" si="5"/>
        <v>36</v>
      </c>
    </row>
    <row r="21" spans="1:76" s="3" customFormat="1" ht="18.75" customHeight="1" x14ac:dyDescent="0.25">
      <c r="A21" s="16">
        <v>14</v>
      </c>
      <c r="B21" s="13" t="s">
        <v>426</v>
      </c>
      <c r="C21" s="17" t="s">
        <v>427</v>
      </c>
      <c r="D21" s="18" t="s">
        <v>69</v>
      </c>
      <c r="E21" s="19">
        <v>1</v>
      </c>
      <c r="F21" s="19"/>
      <c r="G21" s="16" t="s">
        <v>428</v>
      </c>
      <c r="H21" s="16" t="s">
        <v>429</v>
      </c>
      <c r="I21" s="16" t="s">
        <v>82</v>
      </c>
      <c r="J21" s="17" t="s">
        <v>225</v>
      </c>
      <c r="K21" s="16" t="s">
        <v>226</v>
      </c>
      <c r="L21" s="23" t="s">
        <v>430</v>
      </c>
      <c r="M21" s="23"/>
      <c r="N21" s="23"/>
      <c r="O21" s="23" t="s">
        <v>431</v>
      </c>
      <c r="P21" s="16">
        <v>0</v>
      </c>
      <c r="Q21" s="16">
        <v>0</v>
      </c>
      <c r="R21" s="24">
        <v>30</v>
      </c>
      <c r="S21" s="24">
        <v>4</v>
      </c>
      <c r="T21" s="25">
        <v>30</v>
      </c>
      <c r="U21" s="25">
        <v>4</v>
      </c>
      <c r="V21" s="16" t="s">
        <v>257</v>
      </c>
      <c r="W21" s="16"/>
      <c r="X21" s="16">
        <v>1989</v>
      </c>
      <c r="Y21" s="13"/>
      <c r="Z21" s="13"/>
      <c r="AA21" s="17" t="s">
        <v>432</v>
      </c>
      <c r="AB21" s="27" t="s">
        <v>433</v>
      </c>
      <c r="AC21" s="27" t="str">
        <f t="shared" si="0"/>
        <v>07</v>
      </c>
      <c r="AD21" s="28" t="str">
        <f t="shared" si="1"/>
        <v>1962</v>
      </c>
      <c r="AE21" s="44" t="s">
        <v>434</v>
      </c>
      <c r="AF21" s="30">
        <f t="shared" si="6"/>
        <v>2022</v>
      </c>
      <c r="AG21" s="31" t="s">
        <v>435</v>
      </c>
      <c r="AH21" s="32" t="s">
        <v>436</v>
      </c>
      <c r="AI21" s="31" t="s">
        <v>437</v>
      </c>
      <c r="AJ21" s="31" t="s">
        <v>88</v>
      </c>
      <c r="AK21" s="33" t="s">
        <v>438</v>
      </c>
      <c r="AL21" s="33">
        <v>1</v>
      </c>
      <c r="AM21" s="33">
        <v>8</v>
      </c>
      <c r="AN21" s="33"/>
      <c r="AO21" s="33" t="s">
        <v>439</v>
      </c>
      <c r="AP21" s="33" t="s">
        <v>110</v>
      </c>
      <c r="AQ21" s="33">
        <v>65317</v>
      </c>
      <c r="AR21" s="33" t="s">
        <v>440</v>
      </c>
      <c r="AS21" s="33" t="s">
        <v>441</v>
      </c>
      <c r="AT21" s="35" t="s">
        <v>442</v>
      </c>
      <c r="AU21" s="35" t="s">
        <v>443</v>
      </c>
      <c r="AV21" s="36" t="s">
        <v>431</v>
      </c>
      <c r="AW21" s="31" t="s">
        <v>444</v>
      </c>
      <c r="AX21" s="31" t="s">
        <v>445</v>
      </c>
      <c r="AY21" s="38" t="s">
        <v>446</v>
      </c>
      <c r="AZ21" s="31" t="s">
        <v>153</v>
      </c>
      <c r="BA21" s="39" t="s">
        <v>447</v>
      </c>
      <c r="BB21" s="39">
        <v>39199</v>
      </c>
      <c r="BC21" s="23" t="s">
        <v>430</v>
      </c>
      <c r="BD21" s="33" t="s">
        <v>121</v>
      </c>
      <c r="BE21" s="40" t="str">
        <f t="shared" si="3"/>
        <v>IV/a</v>
      </c>
      <c r="BF21" s="41" t="s">
        <v>245</v>
      </c>
      <c r="BG21" s="41" t="s">
        <v>215</v>
      </c>
      <c r="BH21" s="33" t="s">
        <v>124</v>
      </c>
      <c r="BI21" s="33" t="s">
        <v>125</v>
      </c>
      <c r="BJ21" s="33" t="s">
        <v>448</v>
      </c>
      <c r="BK21" s="33"/>
      <c r="BL21" s="33" t="s">
        <v>305</v>
      </c>
      <c r="BM21" s="33" t="s">
        <v>129</v>
      </c>
      <c r="BN21" s="42" t="s">
        <v>449</v>
      </c>
      <c r="BO21" s="13" t="s">
        <v>450</v>
      </c>
      <c r="BP21" s="43" t="s">
        <v>451</v>
      </c>
      <c r="BQ21" s="13" t="s">
        <v>440</v>
      </c>
      <c r="BR21" s="13"/>
      <c r="BS21" s="13"/>
      <c r="BT21" s="13"/>
      <c r="BV21" s="14">
        <f t="shared" si="4"/>
        <v>31</v>
      </c>
      <c r="BW21" s="13"/>
      <c r="BX21" s="15">
        <f t="shared" si="5"/>
        <v>31</v>
      </c>
    </row>
    <row r="22" spans="1:76" s="3" customFormat="1" ht="18.75" customHeight="1" x14ac:dyDescent="0.25">
      <c r="A22" s="16">
        <v>15</v>
      </c>
      <c r="B22" s="13" t="s">
        <v>452</v>
      </c>
      <c r="C22" s="17" t="s">
        <v>453</v>
      </c>
      <c r="D22" s="18" t="s">
        <v>69</v>
      </c>
      <c r="E22" s="19">
        <v>1</v>
      </c>
      <c r="F22" s="19"/>
      <c r="G22" s="16" t="s">
        <v>454</v>
      </c>
      <c r="H22" s="16" t="s">
        <v>455</v>
      </c>
      <c r="I22" s="16" t="s">
        <v>82</v>
      </c>
      <c r="J22" s="17" t="s">
        <v>225</v>
      </c>
      <c r="K22" s="16" t="s">
        <v>226</v>
      </c>
      <c r="L22" s="23" t="s">
        <v>456</v>
      </c>
      <c r="M22" s="23"/>
      <c r="N22" s="23"/>
      <c r="O22" s="23" t="s">
        <v>338</v>
      </c>
      <c r="P22" s="16">
        <v>3</v>
      </c>
      <c r="Q22" s="16">
        <v>0</v>
      </c>
      <c r="R22" s="24">
        <v>29</v>
      </c>
      <c r="S22" s="24">
        <v>4</v>
      </c>
      <c r="T22" s="25">
        <v>34</v>
      </c>
      <c r="U22" s="25">
        <v>4</v>
      </c>
      <c r="V22" s="16" t="s">
        <v>257</v>
      </c>
      <c r="W22" s="16"/>
      <c r="X22" s="16">
        <v>1997</v>
      </c>
      <c r="Y22" s="13"/>
      <c r="Z22" s="13"/>
      <c r="AA22" s="17" t="s">
        <v>229</v>
      </c>
      <c r="AB22" s="27" t="s">
        <v>457</v>
      </c>
      <c r="AC22" s="27" t="str">
        <f t="shared" si="0"/>
        <v>09</v>
      </c>
      <c r="AD22" s="28" t="str">
        <f t="shared" si="1"/>
        <v>1965</v>
      </c>
      <c r="AE22" s="44" t="s">
        <v>170</v>
      </c>
      <c r="AF22" s="30">
        <f t="shared" si="6"/>
        <v>2025</v>
      </c>
      <c r="AG22" s="31" t="s">
        <v>458</v>
      </c>
      <c r="AH22" s="32" t="s">
        <v>459</v>
      </c>
      <c r="AI22" s="31" t="s">
        <v>460</v>
      </c>
      <c r="AJ22" s="31" t="s">
        <v>88</v>
      </c>
      <c r="AK22" s="33" t="s">
        <v>461</v>
      </c>
      <c r="AL22" s="33">
        <v>4</v>
      </c>
      <c r="AM22" s="33">
        <v>1</v>
      </c>
      <c r="AN22" s="33" t="s">
        <v>462</v>
      </c>
      <c r="AO22" s="33" t="s">
        <v>320</v>
      </c>
      <c r="AP22" s="33" t="s">
        <v>321</v>
      </c>
      <c r="AQ22" s="33">
        <v>65151</v>
      </c>
      <c r="AR22" s="33" t="s">
        <v>463</v>
      </c>
      <c r="AS22" s="33" t="s">
        <v>464</v>
      </c>
      <c r="AT22" s="35" t="s">
        <v>465</v>
      </c>
      <c r="AU22" s="35" t="s">
        <v>466</v>
      </c>
      <c r="AV22" s="36" t="s">
        <v>338</v>
      </c>
      <c r="AW22" s="31" t="s">
        <v>467</v>
      </c>
      <c r="AX22" s="31" t="s">
        <v>468</v>
      </c>
      <c r="AY22" s="38" t="s">
        <v>469</v>
      </c>
      <c r="AZ22" s="31" t="s">
        <v>153</v>
      </c>
      <c r="BA22" s="39" t="s">
        <v>470</v>
      </c>
      <c r="BB22" s="39" t="s">
        <v>471</v>
      </c>
      <c r="BC22" s="23" t="s">
        <v>456</v>
      </c>
      <c r="BD22" s="33" t="s">
        <v>121</v>
      </c>
      <c r="BE22" s="40" t="str">
        <f t="shared" si="3"/>
        <v>IV/a</v>
      </c>
      <c r="BF22" s="41" t="s">
        <v>378</v>
      </c>
      <c r="BG22" s="41" t="s">
        <v>215</v>
      </c>
      <c r="BH22" s="33" t="s">
        <v>472</v>
      </c>
      <c r="BI22" s="33" t="s">
        <v>125</v>
      </c>
      <c r="BJ22" s="33" t="s">
        <v>473</v>
      </c>
      <c r="BK22" s="33"/>
      <c r="BL22" s="33" t="s">
        <v>305</v>
      </c>
      <c r="BM22" s="33" t="s">
        <v>129</v>
      </c>
      <c r="BN22" s="42" t="s">
        <v>474</v>
      </c>
      <c r="BO22" s="13" t="s">
        <v>475</v>
      </c>
      <c r="BP22" s="43" t="s">
        <v>476</v>
      </c>
      <c r="BQ22" s="13" t="s">
        <v>463</v>
      </c>
      <c r="BR22" s="13"/>
      <c r="BS22" s="13"/>
      <c r="BT22" s="13"/>
      <c r="BV22" s="14">
        <f t="shared" si="4"/>
        <v>30</v>
      </c>
      <c r="BW22" s="13"/>
      <c r="BX22" s="15">
        <f t="shared" si="5"/>
        <v>35</v>
      </c>
    </row>
    <row r="23" spans="1:76" s="3" customFormat="1" ht="18.75" customHeight="1" x14ac:dyDescent="0.25">
      <c r="A23" s="16">
        <v>16</v>
      </c>
      <c r="B23" s="13" t="s">
        <v>477</v>
      </c>
      <c r="C23" s="17" t="s">
        <v>478</v>
      </c>
      <c r="D23" s="18" t="s">
        <v>69</v>
      </c>
      <c r="E23" s="19">
        <v>1</v>
      </c>
      <c r="F23" s="19"/>
      <c r="G23" s="16" t="s">
        <v>479</v>
      </c>
      <c r="H23" s="16" t="s">
        <v>480</v>
      </c>
      <c r="I23" s="16" t="s">
        <v>82</v>
      </c>
      <c r="J23" s="17" t="s">
        <v>225</v>
      </c>
      <c r="K23" s="16" t="s">
        <v>226</v>
      </c>
      <c r="L23" s="23" t="s">
        <v>481</v>
      </c>
      <c r="M23" s="23"/>
      <c r="N23" s="23"/>
      <c r="O23" s="23" t="s">
        <v>482</v>
      </c>
      <c r="P23" s="16">
        <v>0</v>
      </c>
      <c r="Q23" s="16">
        <v>0</v>
      </c>
      <c r="R23" s="24">
        <v>27</v>
      </c>
      <c r="S23" s="24">
        <v>4</v>
      </c>
      <c r="T23" s="25">
        <v>27</v>
      </c>
      <c r="U23" s="25">
        <v>4</v>
      </c>
      <c r="V23" s="16" t="s">
        <v>85</v>
      </c>
      <c r="W23" s="16"/>
      <c r="X23" s="16">
        <v>2012</v>
      </c>
      <c r="Y23" s="13"/>
      <c r="Z23" s="13"/>
      <c r="AA23" s="17" t="s">
        <v>229</v>
      </c>
      <c r="AB23" s="27" t="s">
        <v>483</v>
      </c>
      <c r="AC23" s="27" t="str">
        <f t="shared" si="0"/>
        <v>07</v>
      </c>
      <c r="AD23" s="28" t="str">
        <f t="shared" si="1"/>
        <v>1965</v>
      </c>
      <c r="AE23" s="44" t="s">
        <v>484</v>
      </c>
      <c r="AF23" s="30">
        <f t="shared" si="6"/>
        <v>2025</v>
      </c>
      <c r="AG23" s="31" t="s">
        <v>485</v>
      </c>
      <c r="AH23" s="32" t="s">
        <v>142</v>
      </c>
      <c r="AI23" s="31" t="s">
        <v>486</v>
      </c>
      <c r="AJ23" s="31" t="s">
        <v>88</v>
      </c>
      <c r="AK23" s="33" t="s">
        <v>487</v>
      </c>
      <c r="AL23" s="33">
        <v>7</v>
      </c>
      <c r="AM23" s="33">
        <v>9</v>
      </c>
      <c r="AN23" s="33" t="s">
        <v>108</v>
      </c>
      <c r="AO23" s="33" t="s">
        <v>108</v>
      </c>
      <c r="AP23" s="33" t="s">
        <v>110</v>
      </c>
      <c r="AQ23" s="33">
        <v>65315</v>
      </c>
      <c r="AR23" s="33" t="s">
        <v>488</v>
      </c>
      <c r="AS23" s="33" t="s">
        <v>489</v>
      </c>
      <c r="AT23" s="35" t="s">
        <v>490</v>
      </c>
      <c r="AU23" s="35" t="s">
        <v>491</v>
      </c>
      <c r="AV23" s="36" t="s">
        <v>482</v>
      </c>
      <c r="AW23" s="31" t="s">
        <v>492</v>
      </c>
      <c r="AX23" s="31" t="s">
        <v>493</v>
      </c>
      <c r="AY23" s="38" t="s">
        <v>494</v>
      </c>
      <c r="AZ23" s="31" t="s">
        <v>153</v>
      </c>
      <c r="BA23" s="39" t="s">
        <v>495</v>
      </c>
      <c r="BB23" s="39" t="s">
        <v>496</v>
      </c>
      <c r="BC23" s="23" t="s">
        <v>481</v>
      </c>
      <c r="BD23" s="33" t="s">
        <v>121</v>
      </c>
      <c r="BE23" s="40" t="str">
        <f t="shared" si="3"/>
        <v>IV/a</v>
      </c>
      <c r="BF23" s="41" t="s">
        <v>378</v>
      </c>
      <c r="BG23" s="41" t="s">
        <v>215</v>
      </c>
      <c r="BH23" s="33" t="s">
        <v>124</v>
      </c>
      <c r="BI23" s="33" t="s">
        <v>125</v>
      </c>
      <c r="BJ23" s="33" t="s">
        <v>497</v>
      </c>
      <c r="BK23" s="33"/>
      <c r="BL23" s="33" t="s">
        <v>329</v>
      </c>
      <c r="BM23" s="33" t="s">
        <v>129</v>
      </c>
      <c r="BN23" s="42" t="s">
        <v>498</v>
      </c>
      <c r="BO23" s="13" t="s">
        <v>499</v>
      </c>
      <c r="BP23" s="43" t="s">
        <v>500</v>
      </c>
      <c r="BQ23" s="13" t="s">
        <v>488</v>
      </c>
      <c r="BR23" s="13"/>
      <c r="BS23" s="13"/>
      <c r="BT23" s="13"/>
      <c r="BV23" s="14">
        <f t="shared" si="4"/>
        <v>28</v>
      </c>
      <c r="BW23" s="13"/>
      <c r="BX23" s="15">
        <f t="shared" si="5"/>
        <v>28</v>
      </c>
    </row>
    <row r="24" spans="1:76" s="3" customFormat="1" ht="18.75" customHeight="1" x14ac:dyDescent="0.25">
      <c r="A24" s="16">
        <v>17</v>
      </c>
      <c r="B24" s="13" t="s">
        <v>501</v>
      </c>
      <c r="C24" s="17" t="s">
        <v>502</v>
      </c>
      <c r="D24" s="18" t="s">
        <v>69</v>
      </c>
      <c r="E24" s="19">
        <v>1</v>
      </c>
      <c r="F24" s="19"/>
      <c r="G24" s="16" t="s">
        <v>503</v>
      </c>
      <c r="H24" s="16" t="s">
        <v>504</v>
      </c>
      <c r="I24" s="16" t="s">
        <v>82</v>
      </c>
      <c r="J24" s="17" t="s">
        <v>225</v>
      </c>
      <c r="K24" s="16" t="s">
        <v>226</v>
      </c>
      <c r="L24" s="23" t="s">
        <v>98</v>
      </c>
      <c r="M24" s="23"/>
      <c r="N24" s="23"/>
      <c r="O24" s="23" t="s">
        <v>505</v>
      </c>
      <c r="P24" s="16">
        <v>0</v>
      </c>
      <c r="Q24" s="16">
        <v>0</v>
      </c>
      <c r="R24" s="24">
        <v>26</v>
      </c>
      <c r="S24" s="24">
        <v>4</v>
      </c>
      <c r="T24" s="25">
        <v>26</v>
      </c>
      <c r="U24" s="25">
        <v>4</v>
      </c>
      <c r="V24" s="16" t="s">
        <v>257</v>
      </c>
      <c r="W24" s="16"/>
      <c r="X24" s="16">
        <v>1993</v>
      </c>
      <c r="Y24" s="13" t="s">
        <v>506</v>
      </c>
      <c r="Z24" s="13"/>
      <c r="AA24" s="17" t="s">
        <v>507</v>
      </c>
      <c r="AB24" s="27" t="s">
        <v>508</v>
      </c>
      <c r="AC24" s="27" t="str">
        <f t="shared" si="0"/>
        <v>08</v>
      </c>
      <c r="AD24" s="28" t="str">
        <f t="shared" si="1"/>
        <v>1969</v>
      </c>
      <c r="AE24" s="44" t="s">
        <v>509</v>
      </c>
      <c r="AF24" s="30">
        <f t="shared" si="6"/>
        <v>2029</v>
      </c>
      <c r="AG24" s="31" t="s">
        <v>510</v>
      </c>
      <c r="AH24" s="32" t="s">
        <v>292</v>
      </c>
      <c r="AI24" s="31" t="s">
        <v>511</v>
      </c>
      <c r="AJ24" s="31"/>
      <c r="AK24" s="33" t="s">
        <v>512</v>
      </c>
      <c r="AL24" s="33">
        <v>2</v>
      </c>
      <c r="AM24" s="33">
        <v>9</v>
      </c>
      <c r="AN24" s="33" t="s">
        <v>513</v>
      </c>
      <c r="AO24" s="33" t="s">
        <v>513</v>
      </c>
      <c r="AP24" s="33" t="s">
        <v>514</v>
      </c>
      <c r="AQ24" s="33">
        <v>65331</v>
      </c>
      <c r="AR24" s="33" t="s">
        <v>515</v>
      </c>
      <c r="AS24" s="34" t="s">
        <v>516</v>
      </c>
      <c r="AT24" s="35" t="s">
        <v>517</v>
      </c>
      <c r="AU24" s="35" t="s">
        <v>518</v>
      </c>
      <c r="AV24" s="36" t="s">
        <v>505</v>
      </c>
      <c r="AW24" s="31" t="s">
        <v>519</v>
      </c>
      <c r="AX24" s="31" t="s">
        <v>520</v>
      </c>
      <c r="AY24" s="38" t="s">
        <v>521</v>
      </c>
      <c r="AZ24" s="31" t="s">
        <v>522</v>
      </c>
      <c r="BA24" s="39" t="s">
        <v>523</v>
      </c>
      <c r="BB24" s="39" t="s">
        <v>523</v>
      </c>
      <c r="BC24" s="23" t="s">
        <v>98</v>
      </c>
      <c r="BD24" s="33" t="s">
        <v>121</v>
      </c>
      <c r="BE24" s="40" t="str">
        <f t="shared" si="3"/>
        <v>IV/a</v>
      </c>
      <c r="BF24" s="41" t="s">
        <v>378</v>
      </c>
      <c r="BG24" s="41" t="s">
        <v>215</v>
      </c>
      <c r="BH24" s="33"/>
      <c r="BI24" s="33"/>
      <c r="BJ24" s="33"/>
      <c r="BK24" s="33"/>
      <c r="BL24" s="33"/>
      <c r="BM24" s="33"/>
      <c r="BN24" s="42" t="s">
        <v>524</v>
      </c>
      <c r="BO24" s="13" t="s">
        <v>525</v>
      </c>
      <c r="BP24" s="43" t="s">
        <v>526</v>
      </c>
      <c r="BQ24" s="13" t="s">
        <v>515</v>
      </c>
      <c r="BR24" s="13"/>
      <c r="BS24" s="13"/>
      <c r="BT24" s="13"/>
      <c r="BV24" s="14">
        <f t="shared" si="4"/>
        <v>27</v>
      </c>
      <c r="BW24" s="13"/>
      <c r="BX24" s="15">
        <f t="shared" si="5"/>
        <v>27</v>
      </c>
    </row>
    <row r="25" spans="1:76" s="3" customFormat="1" ht="18.75" customHeight="1" x14ac:dyDescent="0.25">
      <c r="A25" s="16">
        <v>18</v>
      </c>
      <c r="B25" s="13" t="s">
        <v>527</v>
      </c>
      <c r="C25" s="17" t="s">
        <v>528</v>
      </c>
      <c r="D25" s="18" t="s">
        <v>70</v>
      </c>
      <c r="E25" s="19"/>
      <c r="F25" s="19">
        <v>1</v>
      </c>
      <c r="G25" s="16" t="s">
        <v>529</v>
      </c>
      <c r="H25" s="16" t="s">
        <v>530</v>
      </c>
      <c r="I25" s="16" t="s">
        <v>82</v>
      </c>
      <c r="J25" s="17" t="s">
        <v>225</v>
      </c>
      <c r="K25" s="16" t="s">
        <v>226</v>
      </c>
      <c r="L25" s="23" t="s">
        <v>456</v>
      </c>
      <c r="M25" s="23"/>
      <c r="N25" s="23"/>
      <c r="O25" s="23" t="s">
        <v>494</v>
      </c>
      <c r="P25" s="16">
        <v>0</v>
      </c>
      <c r="Q25" s="16">
        <v>0</v>
      </c>
      <c r="R25" s="24">
        <v>25</v>
      </c>
      <c r="S25" s="24">
        <v>7</v>
      </c>
      <c r="T25" s="25">
        <v>25</v>
      </c>
      <c r="U25" s="25">
        <v>7</v>
      </c>
      <c r="V25" s="16" t="s">
        <v>85</v>
      </c>
      <c r="W25" s="16"/>
      <c r="X25" s="16">
        <v>2011</v>
      </c>
      <c r="Y25" s="13"/>
      <c r="Z25" s="13"/>
      <c r="AA25" s="17" t="s">
        <v>339</v>
      </c>
      <c r="AB25" s="27" t="s">
        <v>531</v>
      </c>
      <c r="AC25" s="27" t="str">
        <f t="shared" si="0"/>
        <v>12</v>
      </c>
      <c r="AD25" s="28" t="str">
        <f t="shared" si="1"/>
        <v>1968</v>
      </c>
      <c r="AE25" s="44" t="s">
        <v>532</v>
      </c>
      <c r="AF25" s="30">
        <f>AD25+60+1</f>
        <v>2029</v>
      </c>
      <c r="AG25" s="31" t="s">
        <v>533</v>
      </c>
      <c r="AH25" s="32" t="s">
        <v>459</v>
      </c>
      <c r="AI25" s="31" t="s">
        <v>534</v>
      </c>
      <c r="AJ25" s="31" t="s">
        <v>88</v>
      </c>
      <c r="AK25" s="33" t="s">
        <v>535</v>
      </c>
      <c r="AL25" s="33">
        <v>1</v>
      </c>
      <c r="AM25" s="33">
        <v>6</v>
      </c>
      <c r="AN25" s="33"/>
      <c r="AO25" s="33" t="s">
        <v>536</v>
      </c>
      <c r="AP25" s="33" t="s">
        <v>110</v>
      </c>
      <c r="AQ25" s="33">
        <v>65151</v>
      </c>
      <c r="AR25" s="33" t="s">
        <v>537</v>
      </c>
      <c r="AS25" s="33" t="s">
        <v>538</v>
      </c>
      <c r="AT25" s="35" t="s">
        <v>539</v>
      </c>
      <c r="AU25" s="35" t="s">
        <v>540</v>
      </c>
      <c r="AV25" s="36" t="s">
        <v>494</v>
      </c>
      <c r="AW25" s="31" t="s">
        <v>541</v>
      </c>
      <c r="AX25" s="31" t="s">
        <v>542</v>
      </c>
      <c r="AY25" s="38" t="s">
        <v>521</v>
      </c>
      <c r="AZ25" s="31" t="s">
        <v>153</v>
      </c>
      <c r="BA25" s="39" t="s">
        <v>470</v>
      </c>
      <c r="BB25" s="39" t="s">
        <v>471</v>
      </c>
      <c r="BC25" s="23" t="s">
        <v>456</v>
      </c>
      <c r="BD25" s="33" t="s">
        <v>121</v>
      </c>
      <c r="BE25" s="40" t="str">
        <f t="shared" si="3"/>
        <v>IV/a</v>
      </c>
      <c r="BF25" s="41" t="s">
        <v>214</v>
      </c>
      <c r="BG25" s="41" t="s">
        <v>215</v>
      </c>
      <c r="BH25" s="33" t="s">
        <v>124</v>
      </c>
      <c r="BI25" s="33" t="s">
        <v>125</v>
      </c>
      <c r="BJ25" s="33" t="s">
        <v>543</v>
      </c>
      <c r="BK25" s="33"/>
      <c r="BL25" s="33" t="s">
        <v>128</v>
      </c>
      <c r="BM25" s="33" t="s">
        <v>129</v>
      </c>
      <c r="BN25" s="42" t="s">
        <v>544</v>
      </c>
      <c r="BO25" s="13" t="s">
        <v>545</v>
      </c>
      <c r="BP25" s="43" t="s">
        <v>546</v>
      </c>
      <c r="BQ25" s="13" t="s">
        <v>537</v>
      </c>
      <c r="BR25" s="13"/>
      <c r="BS25" s="13"/>
      <c r="BT25" s="13"/>
      <c r="BV25" s="14">
        <f t="shared" si="4"/>
        <v>26</v>
      </c>
      <c r="BW25" s="13"/>
      <c r="BX25" s="15">
        <f t="shared" si="5"/>
        <v>26</v>
      </c>
    </row>
    <row r="26" spans="1:76" s="3" customFormat="1" ht="18.75" customHeight="1" x14ac:dyDescent="0.25">
      <c r="A26" s="16">
        <v>19</v>
      </c>
      <c r="B26" s="13" t="s">
        <v>547</v>
      </c>
      <c r="C26" s="17" t="s">
        <v>548</v>
      </c>
      <c r="D26" s="18" t="s">
        <v>69</v>
      </c>
      <c r="E26" s="19">
        <v>1</v>
      </c>
      <c r="F26" s="19"/>
      <c r="G26" s="16" t="s">
        <v>549</v>
      </c>
      <c r="H26" s="16" t="s">
        <v>550</v>
      </c>
      <c r="I26" s="16" t="s">
        <v>82</v>
      </c>
      <c r="J26" s="17" t="s">
        <v>225</v>
      </c>
      <c r="K26" s="16" t="s">
        <v>226</v>
      </c>
      <c r="L26" s="23" t="s">
        <v>551</v>
      </c>
      <c r="M26" s="23"/>
      <c r="N26" s="23"/>
      <c r="O26" s="23" t="s">
        <v>195</v>
      </c>
      <c r="P26" s="16">
        <v>0</v>
      </c>
      <c r="Q26" s="16">
        <v>0</v>
      </c>
      <c r="R26" s="24">
        <v>24</v>
      </c>
      <c r="S26" s="24">
        <v>7</v>
      </c>
      <c r="T26" s="25">
        <v>24</v>
      </c>
      <c r="U26" s="25">
        <v>7</v>
      </c>
      <c r="V26" s="16" t="s">
        <v>257</v>
      </c>
      <c r="W26" s="16"/>
      <c r="X26" s="16">
        <v>1986</v>
      </c>
      <c r="Y26" s="13"/>
      <c r="Z26" s="13"/>
      <c r="AA26" s="17" t="s">
        <v>101</v>
      </c>
      <c r="AB26" s="27" t="s">
        <v>552</v>
      </c>
      <c r="AC26" s="27" t="str">
        <f t="shared" si="0"/>
        <v>08</v>
      </c>
      <c r="AD26" s="28" t="str">
        <f t="shared" si="1"/>
        <v>1962</v>
      </c>
      <c r="AE26" s="44" t="s">
        <v>553</v>
      </c>
      <c r="AF26" s="30">
        <f t="shared" ref="AF26:AF42" si="7">AD26+60</f>
        <v>2022</v>
      </c>
      <c r="AG26" s="31" t="s">
        <v>554</v>
      </c>
      <c r="AH26" s="32" t="s">
        <v>142</v>
      </c>
      <c r="AI26" s="31" t="s">
        <v>555</v>
      </c>
      <c r="AJ26" s="31" t="s">
        <v>88</v>
      </c>
      <c r="AK26" s="33" t="s">
        <v>556</v>
      </c>
      <c r="AL26" s="33">
        <v>2</v>
      </c>
      <c r="AM26" s="33">
        <v>2</v>
      </c>
      <c r="AN26" s="33" t="s">
        <v>557</v>
      </c>
      <c r="AO26" s="33" t="s">
        <v>558</v>
      </c>
      <c r="AP26" s="33" t="s">
        <v>559</v>
      </c>
      <c r="AQ26" s="33">
        <v>65153</v>
      </c>
      <c r="AR26" s="33" t="s">
        <v>560</v>
      </c>
      <c r="AS26" s="33" t="s">
        <v>561</v>
      </c>
      <c r="AT26" s="35" t="s">
        <v>562</v>
      </c>
      <c r="AU26" s="35" t="s">
        <v>563</v>
      </c>
      <c r="AV26" s="36" t="s">
        <v>195</v>
      </c>
      <c r="AW26" s="31" t="s">
        <v>564</v>
      </c>
      <c r="AX26" s="37" t="s">
        <v>565</v>
      </c>
      <c r="AY26" s="38" t="s">
        <v>566</v>
      </c>
      <c r="AZ26" s="31" t="s">
        <v>153</v>
      </c>
      <c r="BA26" s="39" t="s">
        <v>567</v>
      </c>
      <c r="BB26" s="39" t="s">
        <v>568</v>
      </c>
      <c r="BC26" s="23" t="s">
        <v>551</v>
      </c>
      <c r="BD26" s="33" t="s">
        <v>121</v>
      </c>
      <c r="BE26" s="40" t="str">
        <f t="shared" si="3"/>
        <v>IV/a</v>
      </c>
      <c r="BF26" s="41" t="s">
        <v>214</v>
      </c>
      <c r="BG26" s="41" t="s">
        <v>215</v>
      </c>
      <c r="BH26" s="33" t="s">
        <v>569</v>
      </c>
      <c r="BI26" s="33" t="s">
        <v>125</v>
      </c>
      <c r="BJ26" s="33" t="s">
        <v>570</v>
      </c>
      <c r="BK26" s="33"/>
      <c r="BL26" s="33" t="s">
        <v>329</v>
      </c>
      <c r="BM26" s="33" t="s">
        <v>129</v>
      </c>
      <c r="BN26" s="42" t="s">
        <v>571</v>
      </c>
      <c r="BO26" s="13" t="s">
        <v>572</v>
      </c>
      <c r="BP26" s="43" t="s">
        <v>573</v>
      </c>
      <c r="BQ26" s="13" t="s">
        <v>574</v>
      </c>
      <c r="BR26" s="13"/>
      <c r="BS26" s="13"/>
      <c r="BT26" s="13"/>
      <c r="BV26" s="14">
        <f t="shared" si="4"/>
        <v>25</v>
      </c>
      <c r="BW26" s="13"/>
      <c r="BX26" s="15">
        <f t="shared" si="5"/>
        <v>25</v>
      </c>
    </row>
    <row r="27" spans="1:76" s="3" customFormat="1" ht="18.75" customHeight="1" x14ac:dyDescent="0.25">
      <c r="A27" s="16">
        <v>20</v>
      </c>
      <c r="B27" s="13" t="s">
        <v>575</v>
      </c>
      <c r="C27" s="17" t="s">
        <v>576</v>
      </c>
      <c r="D27" s="18" t="s">
        <v>70</v>
      </c>
      <c r="E27" s="19"/>
      <c r="F27" s="19">
        <v>1</v>
      </c>
      <c r="G27" s="16" t="s">
        <v>577</v>
      </c>
      <c r="H27" s="16" t="s">
        <v>578</v>
      </c>
      <c r="I27" s="16" t="s">
        <v>82</v>
      </c>
      <c r="J27" s="17" t="s">
        <v>225</v>
      </c>
      <c r="K27" s="16" t="s">
        <v>226</v>
      </c>
      <c r="L27" s="23" t="s">
        <v>551</v>
      </c>
      <c r="M27" s="23"/>
      <c r="N27" s="23"/>
      <c r="O27" s="23" t="s">
        <v>195</v>
      </c>
      <c r="P27" s="16">
        <v>0</v>
      </c>
      <c r="Q27" s="16">
        <v>0</v>
      </c>
      <c r="R27" s="24">
        <v>25</v>
      </c>
      <c r="S27" s="24">
        <v>7</v>
      </c>
      <c r="T27" s="25">
        <v>25</v>
      </c>
      <c r="U27" s="25">
        <v>7</v>
      </c>
      <c r="V27" s="16" t="s">
        <v>257</v>
      </c>
      <c r="W27" s="16"/>
      <c r="X27" s="16">
        <v>1990</v>
      </c>
      <c r="Y27" s="13"/>
      <c r="Z27" s="13"/>
      <c r="AA27" s="17" t="s">
        <v>432</v>
      </c>
      <c r="AB27" s="27" t="s">
        <v>579</v>
      </c>
      <c r="AC27" s="27" t="str">
        <f t="shared" si="0"/>
        <v>01</v>
      </c>
      <c r="AD27" s="28" t="str">
        <f t="shared" si="1"/>
        <v>1966</v>
      </c>
      <c r="AE27" s="44" t="s">
        <v>580</v>
      </c>
      <c r="AF27" s="30">
        <f t="shared" si="7"/>
        <v>2026</v>
      </c>
      <c r="AG27" s="31" t="s">
        <v>581</v>
      </c>
      <c r="AH27" s="32" t="s">
        <v>582</v>
      </c>
      <c r="AI27" s="31" t="s">
        <v>583</v>
      </c>
      <c r="AJ27" s="31" t="s">
        <v>88</v>
      </c>
      <c r="AK27" s="33" t="s">
        <v>584</v>
      </c>
      <c r="AL27" s="33">
        <v>2</v>
      </c>
      <c r="AM27" s="33">
        <v>5</v>
      </c>
      <c r="AN27" s="33" t="s">
        <v>235</v>
      </c>
      <c r="AO27" s="33" t="s">
        <v>235</v>
      </c>
      <c r="AP27" s="33" t="s">
        <v>110</v>
      </c>
      <c r="AQ27" s="33">
        <v>65314</v>
      </c>
      <c r="AR27" s="33" t="s">
        <v>585</v>
      </c>
      <c r="AS27" s="33" t="s">
        <v>586</v>
      </c>
      <c r="AT27" s="35" t="s">
        <v>587</v>
      </c>
      <c r="AU27" s="35" t="s">
        <v>588</v>
      </c>
      <c r="AV27" s="36" t="s">
        <v>195</v>
      </c>
      <c r="AW27" s="31" t="s">
        <v>589</v>
      </c>
      <c r="AX27" s="31" t="s">
        <v>590</v>
      </c>
      <c r="AY27" s="38" t="s">
        <v>210</v>
      </c>
      <c r="AZ27" s="31" t="s">
        <v>153</v>
      </c>
      <c r="BA27" s="39" t="s">
        <v>567</v>
      </c>
      <c r="BB27" s="39" t="s">
        <v>568</v>
      </c>
      <c r="BC27" s="23" t="s">
        <v>551</v>
      </c>
      <c r="BD27" s="33" t="s">
        <v>121</v>
      </c>
      <c r="BE27" s="40" t="str">
        <f t="shared" si="3"/>
        <v>IV/a</v>
      </c>
      <c r="BF27" s="41" t="s">
        <v>214</v>
      </c>
      <c r="BG27" s="41" t="s">
        <v>215</v>
      </c>
      <c r="BH27" s="33" t="s">
        <v>124</v>
      </c>
      <c r="BI27" s="33" t="s">
        <v>125</v>
      </c>
      <c r="BJ27" s="33" t="s">
        <v>591</v>
      </c>
      <c r="BK27" s="33"/>
      <c r="BL27" s="33" t="s">
        <v>592</v>
      </c>
      <c r="BM27" s="33" t="s">
        <v>129</v>
      </c>
      <c r="BN27" s="42" t="s">
        <v>593</v>
      </c>
      <c r="BO27" s="13" t="s">
        <v>594</v>
      </c>
      <c r="BP27" s="43" t="s">
        <v>595</v>
      </c>
      <c r="BQ27" s="13" t="s">
        <v>585</v>
      </c>
      <c r="BR27" s="13"/>
      <c r="BS27" s="13"/>
      <c r="BT27" s="13"/>
      <c r="BV27" s="14">
        <f t="shared" si="4"/>
        <v>26</v>
      </c>
      <c r="BW27" s="13"/>
      <c r="BX27" s="15">
        <f t="shared" si="5"/>
        <v>26</v>
      </c>
    </row>
    <row r="28" spans="1:76" s="3" customFormat="1" ht="18.75" customHeight="1" x14ac:dyDescent="0.25">
      <c r="A28" s="16">
        <v>21</v>
      </c>
      <c r="B28" s="13" t="s">
        <v>596</v>
      </c>
      <c r="C28" s="17" t="s">
        <v>597</v>
      </c>
      <c r="D28" s="18" t="s">
        <v>69</v>
      </c>
      <c r="E28" s="19">
        <v>1</v>
      </c>
      <c r="F28" s="19"/>
      <c r="G28" s="16" t="s">
        <v>598</v>
      </c>
      <c r="H28" s="16" t="s">
        <v>599</v>
      </c>
      <c r="I28" s="16" t="s">
        <v>82</v>
      </c>
      <c r="J28" s="17" t="s">
        <v>225</v>
      </c>
      <c r="K28" s="16" t="s">
        <v>226</v>
      </c>
      <c r="L28" s="23" t="s">
        <v>98</v>
      </c>
      <c r="M28" s="23"/>
      <c r="N28" s="23"/>
      <c r="O28" s="23" t="s">
        <v>600</v>
      </c>
      <c r="P28" s="16">
        <v>3</v>
      </c>
      <c r="Q28" s="16">
        <v>0</v>
      </c>
      <c r="R28" s="24">
        <v>24</v>
      </c>
      <c r="S28" s="24">
        <v>5</v>
      </c>
      <c r="T28" s="25">
        <v>30</v>
      </c>
      <c r="U28" s="25">
        <v>5</v>
      </c>
      <c r="V28" s="16" t="s">
        <v>85</v>
      </c>
      <c r="W28" s="16"/>
      <c r="X28" s="16">
        <v>2012</v>
      </c>
      <c r="Y28" s="13"/>
      <c r="Z28" s="13"/>
      <c r="AA28" s="17" t="s">
        <v>314</v>
      </c>
      <c r="AB28" s="27" t="s">
        <v>601</v>
      </c>
      <c r="AC28" s="27" t="str">
        <f t="shared" si="0"/>
        <v>07</v>
      </c>
      <c r="AD28" s="28" t="str">
        <f t="shared" si="1"/>
        <v>1968</v>
      </c>
      <c r="AE28" s="44" t="s">
        <v>602</v>
      </c>
      <c r="AF28" s="30">
        <f t="shared" si="7"/>
        <v>2028</v>
      </c>
      <c r="AG28" s="31" t="s">
        <v>603</v>
      </c>
      <c r="AH28" s="32" t="s">
        <v>459</v>
      </c>
      <c r="AI28" s="31" t="s">
        <v>604</v>
      </c>
      <c r="AJ28" s="31" t="s">
        <v>88</v>
      </c>
      <c r="AK28" s="33" t="s">
        <v>605</v>
      </c>
      <c r="AL28" s="33">
        <v>3</v>
      </c>
      <c r="AM28" s="33">
        <v>3</v>
      </c>
      <c r="AN28" s="33"/>
      <c r="AO28" s="33" t="s">
        <v>606</v>
      </c>
      <c r="AP28" s="33" t="s">
        <v>110</v>
      </c>
      <c r="AQ28" s="33">
        <v>65146</v>
      </c>
      <c r="AR28" s="13" t="s">
        <v>607</v>
      </c>
      <c r="AS28" s="33" t="s">
        <v>608</v>
      </c>
      <c r="AT28" s="35" t="s">
        <v>609</v>
      </c>
      <c r="AU28" s="35" t="s">
        <v>610</v>
      </c>
      <c r="AV28" s="36" t="s">
        <v>600</v>
      </c>
      <c r="AW28" s="31" t="s">
        <v>611</v>
      </c>
      <c r="AX28" s="31" t="s">
        <v>612</v>
      </c>
      <c r="AY28" s="38" t="s">
        <v>613</v>
      </c>
      <c r="AZ28" s="31" t="s">
        <v>153</v>
      </c>
      <c r="BA28" s="39" t="s">
        <v>119</v>
      </c>
      <c r="BB28" s="39" t="s">
        <v>120</v>
      </c>
      <c r="BC28" s="23" t="s">
        <v>98</v>
      </c>
      <c r="BD28" s="33" t="s">
        <v>121</v>
      </c>
      <c r="BE28" s="40" t="str">
        <f t="shared" si="3"/>
        <v>IV/a</v>
      </c>
      <c r="BF28" s="41" t="s">
        <v>245</v>
      </c>
      <c r="BG28" s="41" t="s">
        <v>215</v>
      </c>
      <c r="BH28" s="33" t="s">
        <v>614</v>
      </c>
      <c r="BI28" s="33" t="s">
        <v>125</v>
      </c>
      <c r="BJ28" s="33" t="s">
        <v>615</v>
      </c>
      <c r="BK28" s="33"/>
      <c r="BL28" s="33" t="s">
        <v>329</v>
      </c>
      <c r="BM28" s="33" t="s">
        <v>129</v>
      </c>
      <c r="BN28" s="42" t="s">
        <v>616</v>
      </c>
      <c r="BO28" s="13" t="s">
        <v>617</v>
      </c>
      <c r="BP28" s="43" t="s">
        <v>618</v>
      </c>
      <c r="BQ28" s="13" t="s">
        <v>607</v>
      </c>
      <c r="BR28" s="13"/>
      <c r="BS28" s="13"/>
      <c r="BT28" s="13"/>
      <c r="BV28" s="14">
        <f t="shared" si="4"/>
        <v>25</v>
      </c>
      <c r="BW28" s="13"/>
      <c r="BX28" s="15">
        <f t="shared" si="5"/>
        <v>31</v>
      </c>
    </row>
    <row r="29" spans="1:76" s="3" customFormat="1" ht="18.75" customHeight="1" x14ac:dyDescent="0.25">
      <c r="A29" s="16">
        <v>22</v>
      </c>
      <c r="B29" s="13" t="s">
        <v>619</v>
      </c>
      <c r="C29" s="17" t="s">
        <v>620</v>
      </c>
      <c r="D29" s="18" t="s">
        <v>70</v>
      </c>
      <c r="E29" s="19"/>
      <c r="F29" s="19">
        <v>1</v>
      </c>
      <c r="G29" s="16" t="s">
        <v>621</v>
      </c>
      <c r="H29" s="16" t="s">
        <v>622</v>
      </c>
      <c r="I29" s="16" t="s">
        <v>82</v>
      </c>
      <c r="J29" s="17" t="s">
        <v>225</v>
      </c>
      <c r="K29" s="16" t="s">
        <v>226</v>
      </c>
      <c r="L29" s="23" t="s">
        <v>551</v>
      </c>
      <c r="M29" s="23"/>
      <c r="N29" s="23"/>
      <c r="O29" s="23" t="s">
        <v>623</v>
      </c>
      <c r="P29" s="16">
        <v>0</v>
      </c>
      <c r="Q29" s="16">
        <v>0</v>
      </c>
      <c r="R29" s="24">
        <v>24</v>
      </c>
      <c r="S29" s="24">
        <v>5</v>
      </c>
      <c r="T29" s="25">
        <v>24</v>
      </c>
      <c r="U29" s="25">
        <v>5</v>
      </c>
      <c r="V29" s="16" t="s">
        <v>85</v>
      </c>
      <c r="W29" s="16"/>
      <c r="X29" s="16">
        <v>2012</v>
      </c>
      <c r="Y29" s="13"/>
      <c r="Z29" s="13"/>
      <c r="AA29" s="17" t="s">
        <v>624</v>
      </c>
      <c r="AB29" s="27" t="s">
        <v>625</v>
      </c>
      <c r="AC29" s="27" t="str">
        <f t="shared" si="0"/>
        <v>10</v>
      </c>
      <c r="AD29" s="28" t="str">
        <f t="shared" si="1"/>
        <v>1965</v>
      </c>
      <c r="AE29" s="44" t="s">
        <v>626</v>
      </c>
      <c r="AF29" s="30">
        <f t="shared" si="7"/>
        <v>2025</v>
      </c>
      <c r="AG29" s="31" t="s">
        <v>627</v>
      </c>
      <c r="AH29" s="32" t="s">
        <v>628</v>
      </c>
      <c r="AI29" s="31" t="s">
        <v>629</v>
      </c>
      <c r="AJ29" s="31" t="s">
        <v>88</v>
      </c>
      <c r="AK29" s="33" t="s">
        <v>630</v>
      </c>
      <c r="AL29" s="33">
        <v>3</v>
      </c>
      <c r="AM29" s="33">
        <v>4</v>
      </c>
      <c r="AN29" s="33" t="s">
        <v>320</v>
      </c>
      <c r="AO29" s="33" t="s">
        <v>320</v>
      </c>
      <c r="AP29" s="33" t="s">
        <v>321</v>
      </c>
      <c r="AQ29" s="33">
        <v>65151</v>
      </c>
      <c r="AR29" s="33" t="s">
        <v>631</v>
      </c>
      <c r="AS29" s="33" t="s">
        <v>632</v>
      </c>
      <c r="AT29" s="35" t="s">
        <v>633</v>
      </c>
      <c r="AU29" s="35" t="s">
        <v>634</v>
      </c>
      <c r="AV29" s="36" t="s">
        <v>623</v>
      </c>
      <c r="AW29" s="31" t="s">
        <v>635</v>
      </c>
      <c r="AX29" s="37" t="s">
        <v>636</v>
      </c>
      <c r="AY29" s="38" t="s">
        <v>566</v>
      </c>
      <c r="AZ29" s="31" t="s">
        <v>153</v>
      </c>
      <c r="BA29" s="39" t="s">
        <v>567</v>
      </c>
      <c r="BB29" s="39" t="s">
        <v>568</v>
      </c>
      <c r="BC29" s="23" t="s">
        <v>551</v>
      </c>
      <c r="BD29" s="33" t="s">
        <v>121</v>
      </c>
      <c r="BE29" s="40" t="str">
        <f t="shared" si="3"/>
        <v>IV/a</v>
      </c>
      <c r="BF29" s="41" t="s">
        <v>214</v>
      </c>
      <c r="BG29" s="41" t="s">
        <v>215</v>
      </c>
      <c r="BH29" s="33" t="s">
        <v>637</v>
      </c>
      <c r="BI29" s="33" t="s">
        <v>125</v>
      </c>
      <c r="BJ29" s="33" t="s">
        <v>638</v>
      </c>
      <c r="BK29" s="33" t="s">
        <v>639</v>
      </c>
      <c r="BL29" s="33" t="s">
        <v>128</v>
      </c>
      <c r="BM29" s="33" t="s">
        <v>129</v>
      </c>
      <c r="BN29" s="42" t="s">
        <v>640</v>
      </c>
      <c r="BO29" s="13" t="s">
        <v>641</v>
      </c>
      <c r="BP29" s="43" t="s">
        <v>642</v>
      </c>
      <c r="BQ29" s="13" t="s">
        <v>631</v>
      </c>
      <c r="BR29" s="13"/>
      <c r="BS29" s="13"/>
      <c r="BT29" s="13"/>
      <c r="BV29" s="14">
        <f t="shared" si="4"/>
        <v>25</v>
      </c>
      <c r="BW29" s="13"/>
      <c r="BX29" s="15">
        <f t="shared" si="5"/>
        <v>25</v>
      </c>
    </row>
    <row r="30" spans="1:76" s="3" customFormat="1" ht="18.75" customHeight="1" x14ac:dyDescent="0.25">
      <c r="A30" s="16">
        <v>23</v>
      </c>
      <c r="B30" s="13" t="s">
        <v>643</v>
      </c>
      <c r="C30" s="17" t="s">
        <v>644</v>
      </c>
      <c r="D30" s="18" t="s">
        <v>70</v>
      </c>
      <c r="E30" s="19"/>
      <c r="F30" s="19">
        <v>1</v>
      </c>
      <c r="G30" s="16" t="s">
        <v>645</v>
      </c>
      <c r="H30" s="16" t="s">
        <v>646</v>
      </c>
      <c r="I30" s="16" t="s">
        <v>82</v>
      </c>
      <c r="J30" s="17" t="s">
        <v>225</v>
      </c>
      <c r="K30" s="16" t="s">
        <v>226</v>
      </c>
      <c r="L30" s="23" t="s">
        <v>647</v>
      </c>
      <c r="M30" s="23"/>
      <c r="N30" s="23"/>
      <c r="O30" s="23" t="s">
        <v>648</v>
      </c>
      <c r="P30" s="16">
        <v>0</v>
      </c>
      <c r="Q30" s="16">
        <v>0</v>
      </c>
      <c r="R30" s="24">
        <v>23</v>
      </c>
      <c r="S30" s="24">
        <v>4</v>
      </c>
      <c r="T30" s="25">
        <v>23</v>
      </c>
      <c r="U30" s="25">
        <v>4</v>
      </c>
      <c r="V30" s="16" t="s">
        <v>257</v>
      </c>
      <c r="W30" s="16"/>
      <c r="X30" s="16">
        <v>1982</v>
      </c>
      <c r="Y30" s="13"/>
      <c r="Z30" s="13"/>
      <c r="AA30" s="17" t="s">
        <v>649</v>
      </c>
      <c r="AB30" s="27" t="s">
        <v>650</v>
      </c>
      <c r="AC30" s="27" t="str">
        <f t="shared" si="0"/>
        <v>05</v>
      </c>
      <c r="AD30" s="28" t="str">
        <f t="shared" si="1"/>
        <v>1963</v>
      </c>
      <c r="AE30" s="44" t="s">
        <v>651</v>
      </c>
      <c r="AF30" s="30">
        <f t="shared" si="7"/>
        <v>2023</v>
      </c>
      <c r="AG30" s="31" t="s">
        <v>652</v>
      </c>
      <c r="AH30" s="32" t="s">
        <v>459</v>
      </c>
      <c r="AI30" s="31" t="s">
        <v>653</v>
      </c>
      <c r="AJ30" s="31" t="s">
        <v>88</v>
      </c>
      <c r="AK30" s="33" t="s">
        <v>654</v>
      </c>
      <c r="AL30" s="33">
        <v>4</v>
      </c>
      <c r="AM30" s="33">
        <v>2</v>
      </c>
      <c r="AN30" s="33" t="s">
        <v>414</v>
      </c>
      <c r="AO30" s="33" t="s">
        <v>414</v>
      </c>
      <c r="AP30" s="33" t="s">
        <v>203</v>
      </c>
      <c r="AQ30" s="33">
        <v>65326</v>
      </c>
      <c r="AR30" s="33" t="s">
        <v>655</v>
      </c>
      <c r="AS30" s="33" t="s">
        <v>656</v>
      </c>
      <c r="AT30" s="35" t="s">
        <v>657</v>
      </c>
      <c r="AU30" s="35" t="s">
        <v>658</v>
      </c>
      <c r="AV30" s="36" t="s">
        <v>648</v>
      </c>
      <c r="AW30" s="31" t="s">
        <v>659</v>
      </c>
      <c r="AX30" s="31" t="s">
        <v>660</v>
      </c>
      <c r="AY30" s="38" t="s">
        <v>661</v>
      </c>
      <c r="AZ30" s="31" t="s">
        <v>153</v>
      </c>
      <c r="BA30" s="39" t="s">
        <v>662</v>
      </c>
      <c r="BB30" s="39" t="s">
        <v>663</v>
      </c>
      <c r="BC30" s="23" t="s">
        <v>647</v>
      </c>
      <c r="BD30" s="33" t="s">
        <v>121</v>
      </c>
      <c r="BE30" s="40" t="str">
        <f t="shared" si="3"/>
        <v>IV/a</v>
      </c>
      <c r="BF30" s="41" t="s">
        <v>378</v>
      </c>
      <c r="BG30" s="41" t="s">
        <v>215</v>
      </c>
      <c r="BH30" s="33" t="s">
        <v>664</v>
      </c>
      <c r="BI30" s="33" t="s">
        <v>125</v>
      </c>
      <c r="BJ30" s="33" t="s">
        <v>665</v>
      </c>
      <c r="BK30" s="33" t="s">
        <v>666</v>
      </c>
      <c r="BL30" s="33" t="s">
        <v>305</v>
      </c>
      <c r="BM30" s="33" t="s">
        <v>129</v>
      </c>
      <c r="BN30" s="42" t="s">
        <v>667</v>
      </c>
      <c r="BO30" s="13" t="s">
        <v>668</v>
      </c>
      <c r="BP30" s="43" t="s">
        <v>669</v>
      </c>
      <c r="BQ30" s="13" t="s">
        <v>655</v>
      </c>
      <c r="BR30" s="13"/>
      <c r="BS30" s="13"/>
      <c r="BT30" s="13"/>
      <c r="BV30" s="14">
        <f t="shared" si="4"/>
        <v>24</v>
      </c>
      <c r="BW30" s="13"/>
      <c r="BX30" s="15">
        <f t="shared" si="5"/>
        <v>24</v>
      </c>
    </row>
    <row r="31" spans="1:76" s="3" customFormat="1" ht="18.75" customHeight="1" x14ac:dyDescent="0.25">
      <c r="A31" s="16">
        <v>24</v>
      </c>
      <c r="B31" s="13" t="s">
        <v>670</v>
      </c>
      <c r="C31" s="17" t="s">
        <v>671</v>
      </c>
      <c r="D31" s="18" t="s">
        <v>69</v>
      </c>
      <c r="E31" s="19">
        <v>1</v>
      </c>
      <c r="F31" s="19"/>
      <c r="G31" s="16" t="s">
        <v>672</v>
      </c>
      <c r="H31" s="16" t="s">
        <v>673</v>
      </c>
      <c r="I31" s="16" t="s">
        <v>82</v>
      </c>
      <c r="J31" s="17" t="s">
        <v>225</v>
      </c>
      <c r="K31" s="16" t="s">
        <v>226</v>
      </c>
      <c r="L31" s="23" t="s">
        <v>647</v>
      </c>
      <c r="M31" s="23"/>
      <c r="N31" s="23"/>
      <c r="O31" s="23" t="s">
        <v>674</v>
      </c>
      <c r="P31" s="16">
        <v>0</v>
      </c>
      <c r="Q31" s="16">
        <v>0</v>
      </c>
      <c r="R31" s="24">
        <v>21</v>
      </c>
      <c r="S31" s="24">
        <v>4</v>
      </c>
      <c r="T31" s="25">
        <v>21</v>
      </c>
      <c r="U31" s="25">
        <v>4</v>
      </c>
      <c r="V31" s="16" t="s">
        <v>257</v>
      </c>
      <c r="W31" s="16"/>
      <c r="X31" s="16">
        <v>1992</v>
      </c>
      <c r="Y31" s="13"/>
      <c r="Z31" s="13"/>
      <c r="AA31" s="17" t="s">
        <v>675</v>
      </c>
      <c r="AB31" s="27" t="s">
        <v>676</v>
      </c>
      <c r="AC31" s="27" t="str">
        <f t="shared" si="0"/>
        <v>05</v>
      </c>
      <c r="AD31" s="28" t="str">
        <f t="shared" si="1"/>
        <v>1967</v>
      </c>
      <c r="AE31" s="44" t="s">
        <v>677</v>
      </c>
      <c r="AF31" s="30">
        <f t="shared" si="7"/>
        <v>2027</v>
      </c>
      <c r="AG31" s="31" t="s">
        <v>678</v>
      </c>
      <c r="AH31" s="32" t="s">
        <v>459</v>
      </c>
      <c r="AI31" s="31" t="s">
        <v>679</v>
      </c>
      <c r="AJ31" s="31" t="s">
        <v>88</v>
      </c>
      <c r="AK31" s="33" t="s">
        <v>680</v>
      </c>
      <c r="AL31" s="33">
        <v>4</v>
      </c>
      <c r="AM31" s="33">
        <v>9</v>
      </c>
      <c r="AN31" s="33" t="s">
        <v>174</v>
      </c>
      <c r="AO31" s="33" t="s">
        <v>174</v>
      </c>
      <c r="AP31" s="33" t="s">
        <v>110</v>
      </c>
      <c r="AQ31" s="33">
        <v>65313</v>
      </c>
      <c r="AR31" s="33" t="s">
        <v>681</v>
      </c>
      <c r="AS31" s="33" t="s">
        <v>682</v>
      </c>
      <c r="AT31" s="35" t="s">
        <v>683</v>
      </c>
      <c r="AU31" s="35" t="s">
        <v>684</v>
      </c>
      <c r="AV31" s="36" t="s">
        <v>674</v>
      </c>
      <c r="AW31" s="31" t="s">
        <v>685</v>
      </c>
      <c r="AX31" s="31" t="s">
        <v>686</v>
      </c>
      <c r="AY31" s="38" t="s">
        <v>687</v>
      </c>
      <c r="AZ31" s="31" t="s">
        <v>522</v>
      </c>
      <c r="BA31" s="39" t="s">
        <v>662</v>
      </c>
      <c r="BB31" s="39" t="s">
        <v>663</v>
      </c>
      <c r="BC31" s="23" t="s">
        <v>647</v>
      </c>
      <c r="BD31" s="33" t="s">
        <v>121</v>
      </c>
      <c r="BE31" s="40" t="str">
        <f t="shared" si="3"/>
        <v>IV/a</v>
      </c>
      <c r="BF31" s="41" t="s">
        <v>378</v>
      </c>
      <c r="BG31" s="41" t="s">
        <v>215</v>
      </c>
      <c r="BH31" s="33" t="s">
        <v>688</v>
      </c>
      <c r="BI31" s="33" t="s">
        <v>125</v>
      </c>
      <c r="BJ31" s="33" t="s">
        <v>689</v>
      </c>
      <c r="BK31" s="33"/>
      <c r="BL31" s="33" t="s">
        <v>305</v>
      </c>
      <c r="BM31" s="33" t="s">
        <v>129</v>
      </c>
      <c r="BN31" s="42" t="s">
        <v>690</v>
      </c>
      <c r="BO31" s="13" t="s">
        <v>691</v>
      </c>
      <c r="BP31" s="43" t="s">
        <v>692</v>
      </c>
      <c r="BQ31" s="13" t="s">
        <v>681</v>
      </c>
      <c r="BR31" s="13"/>
      <c r="BS31" s="13"/>
      <c r="BT31" s="13"/>
      <c r="BV31" s="14">
        <f t="shared" si="4"/>
        <v>22</v>
      </c>
      <c r="BW31" s="13"/>
      <c r="BX31" s="15">
        <f t="shared" si="5"/>
        <v>22</v>
      </c>
    </row>
    <row r="32" spans="1:76" s="3" customFormat="1" ht="18.75" customHeight="1" x14ac:dyDescent="0.25">
      <c r="A32" s="16">
        <v>25</v>
      </c>
      <c r="B32" s="13" t="s">
        <v>693</v>
      </c>
      <c r="C32" s="17" t="s">
        <v>694</v>
      </c>
      <c r="D32" s="18" t="s">
        <v>69</v>
      </c>
      <c r="E32" s="19">
        <v>1</v>
      </c>
      <c r="F32" s="19"/>
      <c r="G32" s="16" t="s">
        <v>695</v>
      </c>
      <c r="H32" s="16" t="s">
        <v>696</v>
      </c>
      <c r="I32" s="16" t="s">
        <v>82</v>
      </c>
      <c r="J32" s="17" t="s">
        <v>697</v>
      </c>
      <c r="K32" s="16" t="s">
        <v>698</v>
      </c>
      <c r="L32" s="46" t="s">
        <v>98</v>
      </c>
      <c r="M32" s="46"/>
      <c r="N32" s="46"/>
      <c r="O32" s="46" t="s">
        <v>167</v>
      </c>
      <c r="P32" s="16">
        <v>0</v>
      </c>
      <c r="Q32" s="16">
        <v>0</v>
      </c>
      <c r="R32" s="24">
        <v>27</v>
      </c>
      <c r="S32" s="24">
        <v>4</v>
      </c>
      <c r="T32" s="25">
        <v>32</v>
      </c>
      <c r="U32" s="25">
        <v>4</v>
      </c>
      <c r="V32" s="16" t="s">
        <v>257</v>
      </c>
      <c r="W32" s="16"/>
      <c r="X32" s="16">
        <v>1991</v>
      </c>
      <c r="Y32" s="13"/>
      <c r="Z32" s="13"/>
      <c r="AA32" s="17" t="s">
        <v>624</v>
      </c>
      <c r="AB32" s="27" t="s">
        <v>699</v>
      </c>
      <c r="AC32" s="27" t="str">
        <f t="shared" si="0"/>
        <v>02</v>
      </c>
      <c r="AD32" s="28" t="str">
        <f t="shared" si="1"/>
        <v>1961</v>
      </c>
      <c r="AE32" s="44" t="s">
        <v>700</v>
      </c>
      <c r="AF32" s="30">
        <f t="shared" si="7"/>
        <v>2021</v>
      </c>
      <c r="AG32" s="31" t="s">
        <v>701</v>
      </c>
      <c r="AH32" s="32" t="s">
        <v>702</v>
      </c>
      <c r="AI32" s="31" t="s">
        <v>703</v>
      </c>
      <c r="AJ32" s="31" t="s">
        <v>88</v>
      </c>
      <c r="AK32" s="33" t="s">
        <v>704</v>
      </c>
      <c r="AL32" s="33">
        <v>4</v>
      </c>
      <c r="AM32" s="33">
        <v>2</v>
      </c>
      <c r="AN32" s="33" t="s">
        <v>705</v>
      </c>
      <c r="AO32" s="33" t="s">
        <v>706</v>
      </c>
      <c r="AP32" s="33" t="s">
        <v>707</v>
      </c>
      <c r="AQ32" s="33">
        <v>65323</v>
      </c>
      <c r="AR32" s="33" t="s">
        <v>708</v>
      </c>
      <c r="AS32" s="33" t="s">
        <v>709</v>
      </c>
      <c r="AT32" s="35" t="s">
        <v>710</v>
      </c>
      <c r="AU32" s="35" t="s">
        <v>711</v>
      </c>
      <c r="AV32" s="47" t="s">
        <v>167</v>
      </c>
      <c r="AW32" s="31" t="s">
        <v>712</v>
      </c>
      <c r="AX32" s="31" t="s">
        <v>713</v>
      </c>
      <c r="AY32" s="38" t="s">
        <v>420</v>
      </c>
      <c r="AZ32" s="31" t="s">
        <v>714</v>
      </c>
      <c r="BA32" s="48" t="s">
        <v>715</v>
      </c>
      <c r="BB32" s="48" t="s">
        <v>716</v>
      </c>
      <c r="BC32" s="46" t="s">
        <v>98</v>
      </c>
      <c r="BD32" s="33" t="s">
        <v>121</v>
      </c>
      <c r="BE32" s="40" t="str">
        <f t="shared" si="3"/>
        <v>III/d</v>
      </c>
      <c r="BF32" s="41" t="s">
        <v>717</v>
      </c>
      <c r="BG32" s="41" t="s">
        <v>718</v>
      </c>
      <c r="BH32" s="33" t="s">
        <v>719</v>
      </c>
      <c r="BI32" s="33" t="s">
        <v>125</v>
      </c>
      <c r="BJ32" s="33" t="s">
        <v>720</v>
      </c>
      <c r="BK32" s="33" t="s">
        <v>721</v>
      </c>
      <c r="BL32" s="33" t="s">
        <v>128</v>
      </c>
      <c r="BM32" s="33" t="s">
        <v>129</v>
      </c>
      <c r="BN32" s="42" t="s">
        <v>722</v>
      </c>
      <c r="BO32" s="13" t="s">
        <v>723</v>
      </c>
      <c r="BP32" s="43" t="s">
        <v>724</v>
      </c>
      <c r="BQ32" s="13" t="s">
        <v>708</v>
      </c>
      <c r="BR32" s="13"/>
      <c r="BS32" s="13"/>
      <c r="BT32" s="13"/>
      <c r="BV32" s="14">
        <f t="shared" si="4"/>
        <v>28</v>
      </c>
      <c r="BW32" s="13"/>
      <c r="BX32" s="15">
        <f t="shared" si="5"/>
        <v>33</v>
      </c>
    </row>
    <row r="33" spans="1:76" s="3" customFormat="1" ht="18.75" customHeight="1" x14ac:dyDescent="0.25">
      <c r="A33" s="16">
        <v>26</v>
      </c>
      <c r="B33" s="13" t="s">
        <v>725</v>
      </c>
      <c r="C33" s="17" t="s">
        <v>726</v>
      </c>
      <c r="D33" s="18" t="s">
        <v>70</v>
      </c>
      <c r="E33" s="19"/>
      <c r="F33" s="19">
        <v>1</v>
      </c>
      <c r="G33" s="16" t="s">
        <v>727</v>
      </c>
      <c r="H33" s="16" t="s">
        <v>728</v>
      </c>
      <c r="I33" s="16" t="s">
        <v>82</v>
      </c>
      <c r="J33" s="17" t="s">
        <v>697</v>
      </c>
      <c r="K33" s="16" t="s">
        <v>698</v>
      </c>
      <c r="L33" s="46" t="s">
        <v>729</v>
      </c>
      <c r="M33" s="46"/>
      <c r="N33" s="46"/>
      <c r="O33" s="46" t="s">
        <v>401</v>
      </c>
      <c r="P33" s="16">
        <v>3</v>
      </c>
      <c r="Q33" s="16">
        <v>0</v>
      </c>
      <c r="R33" s="24">
        <v>26</v>
      </c>
      <c r="S33" s="24">
        <v>6</v>
      </c>
      <c r="T33" s="25">
        <v>34</v>
      </c>
      <c r="U33" s="25">
        <v>6</v>
      </c>
      <c r="V33" s="16" t="s">
        <v>85</v>
      </c>
      <c r="W33" s="16"/>
      <c r="X33" s="16">
        <v>2005</v>
      </c>
      <c r="Y33" s="13"/>
      <c r="Z33" s="13" t="s">
        <v>730</v>
      </c>
      <c r="AA33" s="17" t="s">
        <v>314</v>
      </c>
      <c r="AB33" s="27" t="s">
        <v>731</v>
      </c>
      <c r="AC33" s="27" t="str">
        <f t="shared" si="0"/>
        <v>07</v>
      </c>
      <c r="AD33" s="28" t="str">
        <f t="shared" si="1"/>
        <v>1967</v>
      </c>
      <c r="AE33" s="44" t="s">
        <v>732</v>
      </c>
      <c r="AF33" s="30">
        <f t="shared" si="7"/>
        <v>2027</v>
      </c>
      <c r="AG33" s="31" t="s">
        <v>733</v>
      </c>
      <c r="AH33" s="32" t="s">
        <v>292</v>
      </c>
      <c r="AI33" s="31" t="s">
        <v>734</v>
      </c>
      <c r="AJ33" s="31" t="s">
        <v>88</v>
      </c>
      <c r="AK33" s="33" t="s">
        <v>735</v>
      </c>
      <c r="AL33" s="33">
        <v>4</v>
      </c>
      <c r="AM33" s="33">
        <v>5</v>
      </c>
      <c r="AN33" s="33" t="s">
        <v>736</v>
      </c>
      <c r="AO33" s="33" t="s">
        <v>320</v>
      </c>
      <c r="AP33" s="33" t="s">
        <v>321</v>
      </c>
      <c r="AQ33" s="33">
        <v>65151</v>
      </c>
      <c r="AR33" s="33" t="s">
        <v>737</v>
      </c>
      <c r="AS33" s="33" t="s">
        <v>738</v>
      </c>
      <c r="AT33" s="35" t="s">
        <v>739</v>
      </c>
      <c r="AU33" s="35" t="s">
        <v>740</v>
      </c>
      <c r="AV33" s="47" t="s">
        <v>401</v>
      </c>
      <c r="AW33" s="31" t="s">
        <v>741</v>
      </c>
      <c r="AX33" s="31" t="s">
        <v>742</v>
      </c>
      <c r="AY33" s="38" t="s">
        <v>743</v>
      </c>
      <c r="AZ33" s="31" t="s">
        <v>153</v>
      </c>
      <c r="BA33" s="48" t="s">
        <v>744</v>
      </c>
      <c r="BB33" s="48" t="s">
        <v>745</v>
      </c>
      <c r="BC33" s="46" t="s">
        <v>729</v>
      </c>
      <c r="BD33" s="33" t="s">
        <v>121</v>
      </c>
      <c r="BE33" s="40" t="str">
        <f t="shared" si="3"/>
        <v>III/d</v>
      </c>
      <c r="BF33" s="49" t="s">
        <v>304</v>
      </c>
      <c r="BG33" s="49" t="s">
        <v>304</v>
      </c>
      <c r="BH33" s="33" t="s">
        <v>746</v>
      </c>
      <c r="BI33" s="33" t="s">
        <v>125</v>
      </c>
      <c r="BJ33" s="33" t="s">
        <v>747</v>
      </c>
      <c r="BK33" s="33" t="s">
        <v>748</v>
      </c>
      <c r="BL33" s="33" t="s">
        <v>305</v>
      </c>
      <c r="BM33" s="33" t="s">
        <v>129</v>
      </c>
      <c r="BN33" s="42" t="s">
        <v>749</v>
      </c>
      <c r="BO33" s="13" t="s">
        <v>750</v>
      </c>
      <c r="BP33" s="43" t="s">
        <v>751</v>
      </c>
      <c r="BQ33" s="13" t="s">
        <v>752</v>
      </c>
      <c r="BR33" s="13"/>
      <c r="BS33" s="13"/>
      <c r="BT33" s="13"/>
      <c r="BV33" s="14">
        <f t="shared" si="4"/>
        <v>27</v>
      </c>
      <c r="BW33" s="13"/>
      <c r="BX33" s="15">
        <f t="shared" si="5"/>
        <v>35</v>
      </c>
    </row>
    <row r="34" spans="1:76" s="3" customFormat="1" ht="18.75" customHeight="1" x14ac:dyDescent="0.25">
      <c r="A34" s="16">
        <v>27</v>
      </c>
      <c r="B34" s="13" t="s">
        <v>753</v>
      </c>
      <c r="C34" s="17" t="s">
        <v>754</v>
      </c>
      <c r="D34" s="18" t="s">
        <v>69</v>
      </c>
      <c r="E34" s="19">
        <v>1</v>
      </c>
      <c r="F34" s="19"/>
      <c r="G34" s="16" t="s">
        <v>755</v>
      </c>
      <c r="H34" s="16" t="s">
        <v>756</v>
      </c>
      <c r="I34" s="16" t="s">
        <v>82</v>
      </c>
      <c r="J34" s="17" t="s">
        <v>697</v>
      </c>
      <c r="K34" s="16" t="s">
        <v>698</v>
      </c>
      <c r="L34" s="46" t="s">
        <v>98</v>
      </c>
      <c r="M34" s="46"/>
      <c r="N34" s="46"/>
      <c r="O34" s="46" t="s">
        <v>757</v>
      </c>
      <c r="P34" s="16">
        <v>3</v>
      </c>
      <c r="Q34" s="16">
        <v>0</v>
      </c>
      <c r="R34" s="24">
        <v>26</v>
      </c>
      <c r="S34" s="24">
        <v>4</v>
      </c>
      <c r="T34" s="25">
        <v>36</v>
      </c>
      <c r="U34" s="25">
        <v>4</v>
      </c>
      <c r="V34" s="16" t="s">
        <v>257</v>
      </c>
      <c r="W34" s="16"/>
      <c r="X34" s="16">
        <v>1996</v>
      </c>
      <c r="Y34" s="13"/>
      <c r="Z34" s="13"/>
      <c r="AA34" s="17" t="s">
        <v>288</v>
      </c>
      <c r="AB34" s="27" t="s">
        <v>758</v>
      </c>
      <c r="AC34" s="27" t="str">
        <f t="shared" si="0"/>
        <v>03</v>
      </c>
      <c r="AD34" s="28" t="str">
        <f t="shared" si="1"/>
        <v>1965</v>
      </c>
      <c r="AE34" s="44" t="s">
        <v>759</v>
      </c>
      <c r="AF34" s="30">
        <f t="shared" si="7"/>
        <v>2025</v>
      </c>
      <c r="AG34" s="31" t="s">
        <v>760</v>
      </c>
      <c r="AH34" s="32" t="s">
        <v>702</v>
      </c>
      <c r="AI34" s="31" t="s">
        <v>761</v>
      </c>
      <c r="AJ34" s="31" t="s">
        <v>88</v>
      </c>
      <c r="AK34" s="33" t="s">
        <v>762</v>
      </c>
      <c r="AL34" s="33">
        <v>1</v>
      </c>
      <c r="AM34" s="33">
        <v>1</v>
      </c>
      <c r="AN34" s="33" t="s">
        <v>763</v>
      </c>
      <c r="AO34" s="33" t="s">
        <v>764</v>
      </c>
      <c r="AP34" s="33" t="s">
        <v>765</v>
      </c>
      <c r="AQ34" s="33">
        <v>65154</v>
      </c>
      <c r="AR34" s="33" t="s">
        <v>766</v>
      </c>
      <c r="AS34" s="33" t="s">
        <v>767</v>
      </c>
      <c r="AT34" s="35" t="s">
        <v>768</v>
      </c>
      <c r="AU34" s="35" t="s">
        <v>769</v>
      </c>
      <c r="AV34" s="47" t="s">
        <v>757</v>
      </c>
      <c r="AW34" s="31" t="s">
        <v>770</v>
      </c>
      <c r="AX34" s="31" t="s">
        <v>771</v>
      </c>
      <c r="AY34" s="38" t="s">
        <v>117</v>
      </c>
      <c r="AZ34" s="31" t="s">
        <v>153</v>
      </c>
      <c r="BA34" s="48" t="s">
        <v>715</v>
      </c>
      <c r="BB34" s="48" t="s">
        <v>716</v>
      </c>
      <c r="BC34" s="46" t="s">
        <v>98</v>
      </c>
      <c r="BD34" s="33" t="s">
        <v>121</v>
      </c>
      <c r="BE34" s="40" t="str">
        <f t="shared" si="3"/>
        <v>III/d</v>
      </c>
      <c r="BF34" s="49" t="s">
        <v>304</v>
      </c>
      <c r="BG34" s="49" t="s">
        <v>304</v>
      </c>
      <c r="BH34" s="33" t="s">
        <v>772</v>
      </c>
      <c r="BI34" s="33" t="s">
        <v>125</v>
      </c>
      <c r="BJ34" s="33" t="s">
        <v>773</v>
      </c>
      <c r="BK34" s="33"/>
      <c r="BL34" s="33" t="s">
        <v>305</v>
      </c>
      <c r="BM34" s="33" t="s">
        <v>129</v>
      </c>
      <c r="BN34" s="42" t="s">
        <v>774</v>
      </c>
      <c r="BO34" s="13" t="s">
        <v>775</v>
      </c>
      <c r="BP34" s="43" t="s">
        <v>776</v>
      </c>
      <c r="BQ34" s="13" t="s">
        <v>766</v>
      </c>
      <c r="BR34" s="13"/>
      <c r="BS34" s="13"/>
      <c r="BT34" s="13"/>
      <c r="BV34" s="14">
        <f t="shared" si="4"/>
        <v>27</v>
      </c>
      <c r="BW34" s="13"/>
      <c r="BX34" s="15">
        <f t="shared" si="5"/>
        <v>37</v>
      </c>
    </row>
    <row r="35" spans="1:76" s="3" customFormat="1" ht="18.75" customHeight="1" x14ac:dyDescent="0.25">
      <c r="A35" s="16">
        <v>28</v>
      </c>
      <c r="B35" s="13" t="s">
        <v>777</v>
      </c>
      <c r="C35" s="17" t="s">
        <v>778</v>
      </c>
      <c r="D35" s="18" t="s">
        <v>70</v>
      </c>
      <c r="E35" s="19"/>
      <c r="F35" s="19">
        <v>1</v>
      </c>
      <c r="G35" s="16" t="s">
        <v>779</v>
      </c>
      <c r="H35" s="16" t="s">
        <v>780</v>
      </c>
      <c r="I35" s="16" t="s">
        <v>82</v>
      </c>
      <c r="J35" s="17" t="s">
        <v>697</v>
      </c>
      <c r="K35" s="16" t="s">
        <v>698</v>
      </c>
      <c r="L35" s="46" t="s">
        <v>781</v>
      </c>
      <c r="M35" s="46"/>
      <c r="N35" s="46"/>
      <c r="O35" s="46" t="s">
        <v>782</v>
      </c>
      <c r="P35" s="16">
        <v>0</v>
      </c>
      <c r="Q35" s="16">
        <v>0</v>
      </c>
      <c r="R35" s="24">
        <v>22</v>
      </c>
      <c r="S35" s="24">
        <v>4</v>
      </c>
      <c r="T35" s="25">
        <v>22</v>
      </c>
      <c r="U35" s="25">
        <v>4</v>
      </c>
      <c r="V35" s="16" t="s">
        <v>257</v>
      </c>
      <c r="W35" s="16"/>
      <c r="X35" s="16">
        <v>1990</v>
      </c>
      <c r="Y35" s="13"/>
      <c r="Z35" s="13"/>
      <c r="AA35" s="17" t="s">
        <v>783</v>
      </c>
      <c r="AB35" s="27" t="s">
        <v>784</v>
      </c>
      <c r="AC35" s="27" t="str">
        <f t="shared" si="0"/>
        <v>07</v>
      </c>
      <c r="AD35" s="28" t="str">
        <f t="shared" si="1"/>
        <v>1968</v>
      </c>
      <c r="AE35" s="44" t="s">
        <v>602</v>
      </c>
      <c r="AF35" s="30">
        <f t="shared" si="7"/>
        <v>2028</v>
      </c>
      <c r="AG35" s="31" t="s">
        <v>785</v>
      </c>
      <c r="AH35" s="32" t="s">
        <v>459</v>
      </c>
      <c r="AI35" s="31" t="s">
        <v>786</v>
      </c>
      <c r="AJ35" s="31" t="s">
        <v>88</v>
      </c>
      <c r="AK35" s="33" t="s">
        <v>787</v>
      </c>
      <c r="AL35" s="33">
        <v>2</v>
      </c>
      <c r="AM35" s="33">
        <v>11</v>
      </c>
      <c r="AN35" s="33" t="s">
        <v>235</v>
      </c>
      <c r="AO35" s="33" t="s">
        <v>235</v>
      </c>
      <c r="AP35" s="33" t="s">
        <v>110</v>
      </c>
      <c r="AQ35" s="33">
        <v>65314</v>
      </c>
      <c r="AR35" s="33" t="s">
        <v>788</v>
      </c>
      <c r="AS35" s="33" t="s">
        <v>789</v>
      </c>
      <c r="AT35" s="35" t="s">
        <v>790</v>
      </c>
      <c r="AU35" s="35" t="s">
        <v>791</v>
      </c>
      <c r="AV35" s="47" t="s">
        <v>782</v>
      </c>
      <c r="AW35" s="31" t="s">
        <v>792</v>
      </c>
      <c r="AX35" s="31" t="s">
        <v>793</v>
      </c>
      <c r="AY35" s="38" t="s">
        <v>794</v>
      </c>
      <c r="AZ35" s="31" t="s">
        <v>795</v>
      </c>
      <c r="BA35" s="48" t="s">
        <v>715</v>
      </c>
      <c r="BB35" s="48" t="s">
        <v>716</v>
      </c>
      <c r="BC35" s="46" t="s">
        <v>781</v>
      </c>
      <c r="BD35" s="33" t="s">
        <v>121</v>
      </c>
      <c r="BE35" s="40" t="str">
        <f t="shared" si="3"/>
        <v>III/d</v>
      </c>
      <c r="BF35" s="49" t="s">
        <v>304</v>
      </c>
      <c r="BG35" s="49" t="s">
        <v>304</v>
      </c>
      <c r="BH35" s="33" t="s">
        <v>124</v>
      </c>
      <c r="BI35" s="33" t="s">
        <v>125</v>
      </c>
      <c r="BJ35" s="33" t="s">
        <v>796</v>
      </c>
      <c r="BK35" s="33" t="s">
        <v>797</v>
      </c>
      <c r="BL35" s="33" t="s">
        <v>128</v>
      </c>
      <c r="BM35" s="33" t="s">
        <v>129</v>
      </c>
      <c r="BN35" s="42" t="s">
        <v>798</v>
      </c>
      <c r="BO35" s="13" t="s">
        <v>799</v>
      </c>
      <c r="BP35" s="43" t="s">
        <v>800</v>
      </c>
      <c r="BQ35" s="13" t="s">
        <v>788</v>
      </c>
      <c r="BR35" s="13"/>
      <c r="BS35" s="13"/>
      <c r="BT35" s="13"/>
      <c r="BV35" s="14">
        <f t="shared" si="4"/>
        <v>23</v>
      </c>
      <c r="BW35" s="13"/>
      <c r="BX35" s="15">
        <f t="shared" si="5"/>
        <v>23</v>
      </c>
    </row>
    <row r="36" spans="1:76" s="3" customFormat="1" ht="18.75" customHeight="1" x14ac:dyDescent="0.25">
      <c r="A36" s="16">
        <v>29</v>
      </c>
      <c r="B36" s="13" t="s">
        <v>801</v>
      </c>
      <c r="C36" s="17" t="s">
        <v>802</v>
      </c>
      <c r="D36" s="18" t="s">
        <v>69</v>
      </c>
      <c r="E36" s="19">
        <v>1</v>
      </c>
      <c r="F36" s="19"/>
      <c r="G36" s="16" t="s">
        <v>803</v>
      </c>
      <c r="H36" s="16" t="s">
        <v>804</v>
      </c>
      <c r="I36" s="16" t="s">
        <v>82</v>
      </c>
      <c r="J36" s="17" t="s">
        <v>697</v>
      </c>
      <c r="K36" s="16" t="s">
        <v>698</v>
      </c>
      <c r="L36" s="46" t="s">
        <v>647</v>
      </c>
      <c r="M36" s="46"/>
      <c r="N36" s="46"/>
      <c r="O36" s="46" t="s">
        <v>805</v>
      </c>
      <c r="P36" s="16">
        <v>4</v>
      </c>
      <c r="Q36" s="16">
        <v>7</v>
      </c>
      <c r="R36" s="24">
        <v>20</v>
      </c>
      <c r="S36" s="24">
        <v>1</v>
      </c>
      <c r="T36" s="25">
        <v>20</v>
      </c>
      <c r="U36" s="25">
        <v>1</v>
      </c>
      <c r="V36" s="16" t="s">
        <v>85</v>
      </c>
      <c r="W36" s="16"/>
      <c r="X36" s="16">
        <v>2010</v>
      </c>
      <c r="Y36" s="13" t="s">
        <v>806</v>
      </c>
      <c r="Z36" s="13"/>
      <c r="AA36" s="17" t="s">
        <v>507</v>
      </c>
      <c r="AB36" s="27" t="s">
        <v>807</v>
      </c>
      <c r="AC36" s="27" t="str">
        <f t="shared" si="0"/>
        <v>07</v>
      </c>
      <c r="AD36" s="28" t="str">
        <f t="shared" si="1"/>
        <v>1965</v>
      </c>
      <c r="AE36" s="44" t="s">
        <v>484</v>
      </c>
      <c r="AF36" s="30">
        <f t="shared" si="7"/>
        <v>2025</v>
      </c>
      <c r="AG36" s="31" t="s">
        <v>808</v>
      </c>
      <c r="AH36" s="32" t="s">
        <v>809</v>
      </c>
      <c r="AI36" s="31" t="s">
        <v>810</v>
      </c>
      <c r="AJ36" s="31" t="s">
        <v>88</v>
      </c>
      <c r="AK36" s="33" t="s">
        <v>811</v>
      </c>
      <c r="AL36" s="33">
        <v>2</v>
      </c>
      <c r="AM36" s="33">
        <v>7</v>
      </c>
      <c r="AN36" s="33" t="s">
        <v>812</v>
      </c>
      <c r="AO36" s="33" t="s">
        <v>813</v>
      </c>
      <c r="AP36" s="33" t="s">
        <v>814</v>
      </c>
      <c r="AQ36" s="33">
        <v>65316</v>
      </c>
      <c r="AR36" s="13" t="s">
        <v>815</v>
      </c>
      <c r="AS36" s="34" t="s">
        <v>816</v>
      </c>
      <c r="AT36" s="35" t="s">
        <v>817</v>
      </c>
      <c r="AU36" s="35" t="s">
        <v>818</v>
      </c>
      <c r="AV36" s="47" t="s">
        <v>805</v>
      </c>
      <c r="AW36" s="31" t="s">
        <v>819</v>
      </c>
      <c r="AX36" s="37" t="s">
        <v>820</v>
      </c>
      <c r="AY36" s="38" t="s">
        <v>481</v>
      </c>
      <c r="AZ36" s="31" t="s">
        <v>121</v>
      </c>
      <c r="BA36" s="48" t="s">
        <v>821</v>
      </c>
      <c r="BB36" s="48" t="s">
        <v>822</v>
      </c>
      <c r="BC36" s="46" t="s">
        <v>647</v>
      </c>
      <c r="BD36" s="33" t="s">
        <v>121</v>
      </c>
      <c r="BE36" s="40" t="str">
        <f t="shared" si="3"/>
        <v>III/d</v>
      </c>
      <c r="BF36" s="49" t="s">
        <v>304</v>
      </c>
      <c r="BG36" s="49" t="s">
        <v>304</v>
      </c>
      <c r="BH36" s="33"/>
      <c r="BI36" s="33"/>
      <c r="BJ36" s="33"/>
      <c r="BK36" s="33"/>
      <c r="BL36" s="33"/>
      <c r="BM36" s="33"/>
      <c r="BN36" s="42" t="s">
        <v>823</v>
      </c>
      <c r="BO36" s="13" t="s">
        <v>824</v>
      </c>
      <c r="BP36" s="50" t="s">
        <v>825</v>
      </c>
      <c r="BQ36" s="13" t="s">
        <v>815</v>
      </c>
      <c r="BR36" s="13"/>
      <c r="BS36" s="13"/>
      <c r="BT36" s="13"/>
      <c r="BV36" s="14">
        <f t="shared" si="4"/>
        <v>21</v>
      </c>
      <c r="BW36" s="13"/>
      <c r="BX36" s="15">
        <f t="shared" si="5"/>
        <v>21</v>
      </c>
    </row>
    <row r="37" spans="1:76" s="3" customFormat="1" ht="18.75" customHeight="1" x14ac:dyDescent="0.25">
      <c r="A37" s="16">
        <v>30</v>
      </c>
      <c r="B37" s="13" t="s">
        <v>826</v>
      </c>
      <c r="C37" s="17" t="s">
        <v>827</v>
      </c>
      <c r="D37" s="18" t="s">
        <v>70</v>
      </c>
      <c r="E37" s="19"/>
      <c r="F37" s="19">
        <v>1</v>
      </c>
      <c r="G37" s="16" t="s">
        <v>828</v>
      </c>
      <c r="H37" s="16" t="s">
        <v>829</v>
      </c>
      <c r="I37" s="16" t="s">
        <v>82</v>
      </c>
      <c r="J37" s="17" t="s">
        <v>697</v>
      </c>
      <c r="K37" s="16" t="s">
        <v>698</v>
      </c>
      <c r="L37" s="46" t="s">
        <v>98</v>
      </c>
      <c r="M37" s="46"/>
      <c r="N37" s="46"/>
      <c r="O37" s="46" t="s">
        <v>687</v>
      </c>
      <c r="P37" s="16">
        <v>0</v>
      </c>
      <c r="Q37" s="16">
        <v>0</v>
      </c>
      <c r="R37" s="24">
        <v>19</v>
      </c>
      <c r="S37" s="24">
        <v>7</v>
      </c>
      <c r="T37" s="25">
        <v>19</v>
      </c>
      <c r="U37" s="25">
        <v>7</v>
      </c>
      <c r="V37" s="16" t="s">
        <v>257</v>
      </c>
      <c r="W37" s="16"/>
      <c r="X37" s="16">
        <v>1999</v>
      </c>
      <c r="Y37" s="13"/>
      <c r="Z37" s="13"/>
      <c r="AA37" s="17" t="s">
        <v>196</v>
      </c>
      <c r="AB37" s="27" t="s">
        <v>830</v>
      </c>
      <c r="AC37" s="27" t="str">
        <f t="shared" si="0"/>
        <v>05</v>
      </c>
      <c r="AD37" s="28" t="str">
        <f t="shared" si="1"/>
        <v>1975</v>
      </c>
      <c r="AE37" s="44" t="s">
        <v>831</v>
      </c>
      <c r="AF37" s="30">
        <f t="shared" si="7"/>
        <v>2035</v>
      </c>
      <c r="AG37" s="31" t="s">
        <v>832</v>
      </c>
      <c r="AH37" s="32" t="s">
        <v>142</v>
      </c>
      <c r="AI37" s="31" t="s">
        <v>833</v>
      </c>
      <c r="AJ37" s="31" t="s">
        <v>88</v>
      </c>
      <c r="AK37" s="33" t="s">
        <v>834</v>
      </c>
      <c r="AL37" s="33">
        <v>1</v>
      </c>
      <c r="AM37" s="33">
        <v>3</v>
      </c>
      <c r="AN37" s="33" t="s">
        <v>124</v>
      </c>
      <c r="AO37" s="33" t="s">
        <v>235</v>
      </c>
      <c r="AP37" s="33" t="s">
        <v>110</v>
      </c>
      <c r="AQ37" s="33">
        <v>65314</v>
      </c>
      <c r="AR37" s="33" t="s">
        <v>835</v>
      </c>
      <c r="AS37" s="33" t="s">
        <v>836</v>
      </c>
      <c r="AT37" s="35" t="s">
        <v>837</v>
      </c>
      <c r="AU37" s="35" t="s">
        <v>838</v>
      </c>
      <c r="AV37" s="47" t="s">
        <v>687</v>
      </c>
      <c r="AW37" s="31" t="s">
        <v>839</v>
      </c>
      <c r="AX37" s="31" t="s">
        <v>840</v>
      </c>
      <c r="AY37" s="38" t="s">
        <v>841</v>
      </c>
      <c r="AZ37" s="31" t="s">
        <v>153</v>
      </c>
      <c r="BA37" s="48" t="s">
        <v>715</v>
      </c>
      <c r="BB37" s="48" t="s">
        <v>716</v>
      </c>
      <c r="BC37" s="46" t="s">
        <v>98</v>
      </c>
      <c r="BD37" s="33" t="s">
        <v>121</v>
      </c>
      <c r="BE37" s="40" t="str">
        <f t="shared" si="3"/>
        <v>III/d</v>
      </c>
      <c r="BF37" s="49"/>
      <c r="BG37" s="49"/>
      <c r="BH37" s="33" t="s">
        <v>842</v>
      </c>
      <c r="BI37" s="33" t="s">
        <v>125</v>
      </c>
      <c r="BJ37" s="33" t="s">
        <v>843</v>
      </c>
      <c r="BK37" s="33" t="s">
        <v>844</v>
      </c>
      <c r="BL37" s="33" t="s">
        <v>128</v>
      </c>
      <c r="BM37" s="33" t="s">
        <v>129</v>
      </c>
      <c r="BN37" s="42" t="s">
        <v>845</v>
      </c>
      <c r="BO37" s="13" t="s">
        <v>846</v>
      </c>
      <c r="BP37" s="43" t="s">
        <v>847</v>
      </c>
      <c r="BQ37" s="13" t="s">
        <v>835</v>
      </c>
      <c r="BR37" s="13"/>
      <c r="BS37" s="13"/>
      <c r="BT37" s="13"/>
      <c r="BV37" s="14">
        <f t="shared" si="4"/>
        <v>20</v>
      </c>
      <c r="BW37" s="13"/>
      <c r="BX37" s="15">
        <f t="shared" si="5"/>
        <v>20</v>
      </c>
    </row>
    <row r="38" spans="1:76" s="3" customFormat="1" ht="18.75" customHeight="1" x14ac:dyDescent="0.25">
      <c r="A38" s="16">
        <v>31</v>
      </c>
      <c r="B38" s="13" t="s">
        <v>848</v>
      </c>
      <c r="C38" s="17" t="s">
        <v>849</v>
      </c>
      <c r="D38" s="18" t="s">
        <v>69</v>
      </c>
      <c r="E38" s="19">
        <v>1</v>
      </c>
      <c r="F38" s="19"/>
      <c r="G38" s="16" t="s">
        <v>850</v>
      </c>
      <c r="H38" s="16" t="s">
        <v>851</v>
      </c>
      <c r="I38" s="16" t="s">
        <v>82</v>
      </c>
      <c r="J38" s="17" t="s">
        <v>697</v>
      </c>
      <c r="K38" s="16" t="s">
        <v>698</v>
      </c>
      <c r="L38" s="46" t="s">
        <v>852</v>
      </c>
      <c r="M38" s="46"/>
      <c r="N38" s="46"/>
      <c r="O38" s="46" t="s">
        <v>805</v>
      </c>
      <c r="P38" s="16">
        <v>0</v>
      </c>
      <c r="Q38" s="16">
        <v>0</v>
      </c>
      <c r="R38" s="24">
        <v>15</v>
      </c>
      <c r="S38" s="24">
        <v>6</v>
      </c>
      <c r="T38" s="25">
        <v>15</v>
      </c>
      <c r="U38" s="25">
        <v>6</v>
      </c>
      <c r="V38" s="16" t="s">
        <v>257</v>
      </c>
      <c r="W38" s="16"/>
      <c r="X38" s="16">
        <v>1994</v>
      </c>
      <c r="Y38" s="13"/>
      <c r="Z38" s="13"/>
      <c r="AA38" s="17" t="s">
        <v>853</v>
      </c>
      <c r="AB38" s="27" t="s">
        <v>854</v>
      </c>
      <c r="AC38" s="27" t="str">
        <f t="shared" si="0"/>
        <v>09</v>
      </c>
      <c r="AD38" s="28" t="str">
        <f t="shared" si="1"/>
        <v>1969</v>
      </c>
      <c r="AE38" s="44" t="s">
        <v>855</v>
      </c>
      <c r="AF38" s="30">
        <f t="shared" si="7"/>
        <v>2029</v>
      </c>
      <c r="AG38" s="31" t="s">
        <v>856</v>
      </c>
      <c r="AH38" s="32" t="s">
        <v>857</v>
      </c>
      <c r="AI38" s="31" t="s">
        <v>858</v>
      </c>
      <c r="AJ38" s="31" t="s">
        <v>88</v>
      </c>
      <c r="AK38" s="33" t="s">
        <v>859</v>
      </c>
      <c r="AL38" s="33">
        <v>1</v>
      </c>
      <c r="AM38" s="33">
        <v>1</v>
      </c>
      <c r="AN38" s="33" t="s">
        <v>860</v>
      </c>
      <c r="AO38" s="33" t="s">
        <v>439</v>
      </c>
      <c r="AP38" s="33" t="s">
        <v>110</v>
      </c>
      <c r="AQ38" s="33">
        <v>65317</v>
      </c>
      <c r="AR38" s="33" t="s">
        <v>861</v>
      </c>
      <c r="AS38" s="33" t="s">
        <v>862</v>
      </c>
      <c r="AT38" s="35" t="s">
        <v>863</v>
      </c>
      <c r="AU38" s="35" t="s">
        <v>818</v>
      </c>
      <c r="AV38" s="47" t="s">
        <v>805</v>
      </c>
      <c r="AW38" s="31" t="s">
        <v>864</v>
      </c>
      <c r="AX38" s="31" t="s">
        <v>865</v>
      </c>
      <c r="AY38" s="38" t="s">
        <v>481</v>
      </c>
      <c r="AZ38" s="31" t="s">
        <v>153</v>
      </c>
      <c r="BA38" s="48" t="s">
        <v>744</v>
      </c>
      <c r="BB38" s="48" t="s">
        <v>745</v>
      </c>
      <c r="BC38" s="46" t="s">
        <v>852</v>
      </c>
      <c r="BD38" s="33" t="s">
        <v>121</v>
      </c>
      <c r="BE38" s="40" t="str">
        <f t="shared" si="3"/>
        <v>III/d</v>
      </c>
      <c r="BF38" s="49" t="s">
        <v>304</v>
      </c>
      <c r="BG38" s="49" t="s">
        <v>304</v>
      </c>
      <c r="BH38" s="33" t="s">
        <v>866</v>
      </c>
      <c r="BI38" s="33" t="s">
        <v>125</v>
      </c>
      <c r="BJ38" s="33" t="s">
        <v>867</v>
      </c>
      <c r="BK38" s="33"/>
      <c r="BL38" s="33" t="s">
        <v>329</v>
      </c>
      <c r="BM38" s="33" t="s">
        <v>129</v>
      </c>
      <c r="BN38" s="42" t="s">
        <v>868</v>
      </c>
      <c r="BO38" s="13" t="s">
        <v>869</v>
      </c>
      <c r="BP38" s="43" t="s">
        <v>870</v>
      </c>
      <c r="BQ38" s="13" t="s">
        <v>861</v>
      </c>
      <c r="BR38" s="13"/>
      <c r="BS38" s="13"/>
      <c r="BT38" s="13"/>
      <c r="BV38" s="14">
        <f t="shared" si="4"/>
        <v>16</v>
      </c>
      <c r="BW38" s="13"/>
      <c r="BX38" s="15">
        <f t="shared" si="5"/>
        <v>16</v>
      </c>
    </row>
    <row r="39" spans="1:76" s="3" customFormat="1" ht="18.75" customHeight="1" x14ac:dyDescent="0.25">
      <c r="A39" s="16">
        <v>32</v>
      </c>
      <c r="B39" s="13" t="s">
        <v>871</v>
      </c>
      <c r="C39" s="17" t="s">
        <v>872</v>
      </c>
      <c r="D39" s="18" t="s">
        <v>69</v>
      </c>
      <c r="E39" s="19">
        <v>1</v>
      </c>
      <c r="F39" s="19"/>
      <c r="G39" s="16" t="s">
        <v>873</v>
      </c>
      <c r="H39" s="16" t="s">
        <v>874</v>
      </c>
      <c r="I39" s="16" t="s">
        <v>82</v>
      </c>
      <c r="J39" s="17" t="s">
        <v>697</v>
      </c>
      <c r="K39" s="16" t="s">
        <v>698</v>
      </c>
      <c r="L39" s="46" t="s">
        <v>875</v>
      </c>
      <c r="M39" s="46"/>
      <c r="N39" s="46"/>
      <c r="O39" s="46" t="s">
        <v>805</v>
      </c>
      <c r="P39" s="16">
        <v>0</v>
      </c>
      <c r="Q39" s="16">
        <v>0</v>
      </c>
      <c r="R39" s="24">
        <v>15</v>
      </c>
      <c r="S39" s="24">
        <v>6</v>
      </c>
      <c r="T39" s="25">
        <v>15</v>
      </c>
      <c r="U39" s="25">
        <v>6</v>
      </c>
      <c r="V39" s="16" t="s">
        <v>85</v>
      </c>
      <c r="W39" s="16"/>
      <c r="X39" s="16">
        <v>2009</v>
      </c>
      <c r="Y39" s="13"/>
      <c r="Z39" s="13"/>
      <c r="AA39" s="17" t="s">
        <v>624</v>
      </c>
      <c r="AB39" s="27" t="s">
        <v>876</v>
      </c>
      <c r="AC39" s="27" t="str">
        <f t="shared" si="0"/>
        <v>04</v>
      </c>
      <c r="AD39" s="28" t="str">
        <f t="shared" si="1"/>
        <v>1975</v>
      </c>
      <c r="AE39" s="44" t="s">
        <v>877</v>
      </c>
      <c r="AF39" s="30">
        <f t="shared" si="7"/>
        <v>2035</v>
      </c>
      <c r="AG39" s="31" t="s">
        <v>878</v>
      </c>
      <c r="AH39" s="32" t="s">
        <v>729</v>
      </c>
      <c r="AI39" s="31" t="s">
        <v>879</v>
      </c>
      <c r="AJ39" s="31" t="s">
        <v>88</v>
      </c>
      <c r="AK39" s="33" t="s">
        <v>880</v>
      </c>
      <c r="AL39" s="33">
        <v>59</v>
      </c>
      <c r="AM39" s="33">
        <v>9</v>
      </c>
      <c r="AN39" s="33" t="s">
        <v>881</v>
      </c>
      <c r="AO39" s="33" t="s">
        <v>882</v>
      </c>
      <c r="AP39" s="33" t="s">
        <v>883</v>
      </c>
      <c r="AQ39" s="33">
        <v>65333</v>
      </c>
      <c r="AR39" s="33" t="s">
        <v>884</v>
      </c>
      <c r="AS39" s="33" t="s">
        <v>885</v>
      </c>
      <c r="AT39" s="35" t="s">
        <v>886</v>
      </c>
      <c r="AU39" s="35" t="s">
        <v>887</v>
      </c>
      <c r="AV39" s="47" t="s">
        <v>805</v>
      </c>
      <c r="AW39" s="31" t="s">
        <v>888</v>
      </c>
      <c r="AX39" s="31" t="s">
        <v>889</v>
      </c>
      <c r="AY39" s="38" t="s">
        <v>890</v>
      </c>
      <c r="AZ39" s="31" t="s">
        <v>714</v>
      </c>
      <c r="BA39" s="48" t="s">
        <v>891</v>
      </c>
      <c r="BB39" s="48" t="s">
        <v>892</v>
      </c>
      <c r="BC39" s="46" t="s">
        <v>875</v>
      </c>
      <c r="BD39" s="33" t="s">
        <v>893</v>
      </c>
      <c r="BE39" s="40" t="str">
        <f t="shared" si="3"/>
        <v>III/d</v>
      </c>
      <c r="BF39" s="49" t="s">
        <v>894</v>
      </c>
      <c r="BG39" s="49" t="s">
        <v>895</v>
      </c>
      <c r="BH39" s="33" t="s">
        <v>896</v>
      </c>
      <c r="BI39" s="33" t="s">
        <v>125</v>
      </c>
      <c r="BJ39" s="33" t="s">
        <v>897</v>
      </c>
      <c r="BK39" s="33"/>
      <c r="BL39" s="33" t="s">
        <v>305</v>
      </c>
      <c r="BM39" s="33" t="s">
        <v>129</v>
      </c>
      <c r="BN39" s="42" t="s">
        <v>898</v>
      </c>
      <c r="BO39" s="13" t="s">
        <v>899</v>
      </c>
      <c r="BP39" s="43" t="s">
        <v>900</v>
      </c>
      <c r="BQ39" s="13" t="s">
        <v>884</v>
      </c>
      <c r="BR39" s="13"/>
      <c r="BS39" s="13"/>
      <c r="BT39" s="13"/>
      <c r="BV39" s="14">
        <f t="shared" si="4"/>
        <v>16</v>
      </c>
      <c r="BW39" s="13"/>
      <c r="BX39" s="15">
        <f t="shared" si="5"/>
        <v>16</v>
      </c>
    </row>
    <row r="40" spans="1:76" s="3" customFormat="1" ht="18.75" customHeight="1" x14ac:dyDescent="0.25">
      <c r="A40" s="16">
        <v>33</v>
      </c>
      <c r="B40" s="13" t="s">
        <v>901</v>
      </c>
      <c r="C40" s="17" t="s">
        <v>902</v>
      </c>
      <c r="D40" s="18" t="s">
        <v>70</v>
      </c>
      <c r="E40" s="19"/>
      <c r="F40" s="19">
        <v>1</v>
      </c>
      <c r="G40" s="16" t="s">
        <v>903</v>
      </c>
      <c r="H40" s="16" t="s">
        <v>904</v>
      </c>
      <c r="I40" s="16" t="s">
        <v>82</v>
      </c>
      <c r="J40" s="17" t="s">
        <v>905</v>
      </c>
      <c r="K40" s="16" t="s">
        <v>906</v>
      </c>
      <c r="L40" s="46" t="s">
        <v>907</v>
      </c>
      <c r="M40" s="46"/>
      <c r="N40" s="46"/>
      <c r="O40" s="46" t="s">
        <v>805</v>
      </c>
      <c r="P40" s="16">
        <v>0</v>
      </c>
      <c r="Q40" s="16">
        <v>0</v>
      </c>
      <c r="R40" s="24">
        <v>15</v>
      </c>
      <c r="S40" s="24">
        <v>9</v>
      </c>
      <c r="T40" s="25">
        <v>15</v>
      </c>
      <c r="U40" s="25">
        <v>9</v>
      </c>
      <c r="V40" s="16" t="s">
        <v>85</v>
      </c>
      <c r="W40" s="16"/>
      <c r="X40" s="16">
        <v>2017</v>
      </c>
      <c r="Y40" s="13"/>
      <c r="Z40" s="13"/>
      <c r="AA40" s="17" t="s">
        <v>196</v>
      </c>
      <c r="AB40" s="27" t="s">
        <v>908</v>
      </c>
      <c r="AC40" s="27" t="str">
        <f t="shared" si="0"/>
        <v>08</v>
      </c>
      <c r="AD40" s="28" t="str">
        <f t="shared" si="1"/>
        <v>1975</v>
      </c>
      <c r="AE40" s="44" t="s">
        <v>909</v>
      </c>
      <c r="AF40" s="30">
        <f t="shared" si="7"/>
        <v>2035</v>
      </c>
      <c r="AG40" s="31" t="s">
        <v>910</v>
      </c>
      <c r="AH40" s="32" t="s">
        <v>702</v>
      </c>
      <c r="AI40" s="31" t="s">
        <v>911</v>
      </c>
      <c r="AJ40" s="31" t="s">
        <v>88</v>
      </c>
      <c r="AK40" s="33" t="s">
        <v>912</v>
      </c>
      <c r="AL40" s="33">
        <v>5</v>
      </c>
      <c r="AM40" s="33">
        <v>2</v>
      </c>
      <c r="AN40" s="33" t="s">
        <v>913</v>
      </c>
      <c r="AO40" s="33" t="s">
        <v>202</v>
      </c>
      <c r="AP40" s="33" t="s">
        <v>203</v>
      </c>
      <c r="AQ40" s="33">
        <v>65323</v>
      </c>
      <c r="AR40" s="33" t="s">
        <v>914</v>
      </c>
      <c r="AS40" s="33" t="s">
        <v>915</v>
      </c>
      <c r="AT40" s="35" t="s">
        <v>916</v>
      </c>
      <c r="AU40" s="35" t="s">
        <v>818</v>
      </c>
      <c r="AV40" s="47" t="s">
        <v>805</v>
      </c>
      <c r="AW40" s="31" t="s">
        <v>917</v>
      </c>
      <c r="AX40" s="37" t="s">
        <v>865</v>
      </c>
      <c r="AY40" s="38" t="s">
        <v>481</v>
      </c>
      <c r="AZ40" s="31" t="s">
        <v>714</v>
      </c>
      <c r="BA40" s="48" t="s">
        <v>918</v>
      </c>
      <c r="BB40" s="48" t="s">
        <v>919</v>
      </c>
      <c r="BC40" s="46" t="s">
        <v>907</v>
      </c>
      <c r="BD40" s="33" t="s">
        <v>893</v>
      </c>
      <c r="BE40" s="40" t="str">
        <f t="shared" si="3"/>
        <v>III/c</v>
      </c>
      <c r="BF40" s="49" t="s">
        <v>920</v>
      </c>
      <c r="BG40" s="49" t="s">
        <v>921</v>
      </c>
      <c r="BH40" s="33" t="s">
        <v>922</v>
      </c>
      <c r="BI40" s="33" t="s">
        <v>125</v>
      </c>
      <c r="BJ40" s="33" t="s">
        <v>923</v>
      </c>
      <c r="BK40" s="33"/>
      <c r="BL40" s="33" t="s">
        <v>128</v>
      </c>
      <c r="BM40" s="33" t="s">
        <v>129</v>
      </c>
      <c r="BN40" s="42" t="s">
        <v>924</v>
      </c>
      <c r="BO40" s="13" t="s">
        <v>925</v>
      </c>
      <c r="BP40" s="43" t="s">
        <v>926</v>
      </c>
      <c r="BQ40" s="13" t="s">
        <v>914</v>
      </c>
      <c r="BR40" s="13"/>
      <c r="BS40" s="13"/>
      <c r="BT40" s="13"/>
      <c r="BV40" s="14">
        <f t="shared" si="4"/>
        <v>16</v>
      </c>
      <c r="BW40" s="13"/>
      <c r="BX40" s="15">
        <f t="shared" si="5"/>
        <v>16</v>
      </c>
    </row>
    <row r="41" spans="1:76" s="3" customFormat="1" ht="18.75" customHeight="1" x14ac:dyDescent="0.25">
      <c r="A41" s="16">
        <v>34</v>
      </c>
      <c r="B41" s="13" t="s">
        <v>927</v>
      </c>
      <c r="C41" s="17" t="s">
        <v>928</v>
      </c>
      <c r="D41" s="18" t="s">
        <v>69</v>
      </c>
      <c r="E41" s="19">
        <v>1</v>
      </c>
      <c r="F41" s="19"/>
      <c r="G41" s="16" t="s">
        <v>929</v>
      </c>
      <c r="H41" s="16" t="s">
        <v>930</v>
      </c>
      <c r="I41" s="16" t="s">
        <v>82</v>
      </c>
      <c r="J41" s="17" t="s">
        <v>905</v>
      </c>
      <c r="K41" s="16" t="s">
        <v>906</v>
      </c>
      <c r="L41" s="46" t="s">
        <v>852</v>
      </c>
      <c r="M41" s="46"/>
      <c r="N41" s="46"/>
      <c r="O41" s="46" t="s">
        <v>931</v>
      </c>
      <c r="P41" s="16">
        <v>2</v>
      </c>
      <c r="Q41" s="16">
        <v>8</v>
      </c>
      <c r="R41" s="24">
        <v>16</v>
      </c>
      <c r="S41" s="24">
        <v>2</v>
      </c>
      <c r="T41" s="25">
        <v>16</v>
      </c>
      <c r="U41" s="25">
        <v>2</v>
      </c>
      <c r="V41" s="16" t="s">
        <v>257</v>
      </c>
      <c r="W41" s="16"/>
      <c r="X41" s="16">
        <v>1991</v>
      </c>
      <c r="Y41" s="13"/>
      <c r="Z41" s="13"/>
      <c r="AA41" s="17" t="s">
        <v>507</v>
      </c>
      <c r="AB41" s="27" t="s">
        <v>932</v>
      </c>
      <c r="AC41" s="27" t="str">
        <f t="shared" si="0"/>
        <v>01</v>
      </c>
      <c r="AD41" s="28" t="str">
        <f t="shared" si="1"/>
        <v>1965</v>
      </c>
      <c r="AE41" s="44" t="s">
        <v>933</v>
      </c>
      <c r="AF41" s="30">
        <f t="shared" si="7"/>
        <v>2025</v>
      </c>
      <c r="AG41" s="31" t="s">
        <v>934</v>
      </c>
      <c r="AH41" s="32" t="s">
        <v>935</v>
      </c>
      <c r="AI41" s="31" t="s">
        <v>936</v>
      </c>
      <c r="AJ41" s="31" t="s">
        <v>88</v>
      </c>
      <c r="AK41" s="33" t="s">
        <v>937</v>
      </c>
      <c r="AL41" s="33">
        <v>2</v>
      </c>
      <c r="AM41" s="33">
        <v>2</v>
      </c>
      <c r="AN41" s="33"/>
      <c r="AO41" s="33" t="s">
        <v>235</v>
      </c>
      <c r="AP41" s="33" t="s">
        <v>110</v>
      </c>
      <c r="AQ41" s="33">
        <v>65314</v>
      </c>
      <c r="AR41" s="33" t="s">
        <v>938</v>
      </c>
      <c r="AS41" s="33" t="s">
        <v>939</v>
      </c>
      <c r="AT41" s="35" t="s">
        <v>940</v>
      </c>
      <c r="AU41" s="35" t="s">
        <v>941</v>
      </c>
      <c r="AV41" s="47" t="s">
        <v>931</v>
      </c>
      <c r="AW41" s="31" t="s">
        <v>942</v>
      </c>
      <c r="AX41" s="31" t="s">
        <v>943</v>
      </c>
      <c r="AY41" s="38" t="s">
        <v>944</v>
      </c>
      <c r="AZ41" s="31" t="s">
        <v>714</v>
      </c>
      <c r="BA41" s="48" t="s">
        <v>945</v>
      </c>
      <c r="BB41" s="48" t="s">
        <v>946</v>
      </c>
      <c r="BC41" s="46" t="s">
        <v>852</v>
      </c>
      <c r="BD41" s="33" t="s">
        <v>121</v>
      </c>
      <c r="BE41" s="40" t="str">
        <f t="shared" ref="BE41:BE66" si="8">K41</f>
        <v>III/c</v>
      </c>
      <c r="BF41" s="49" t="s">
        <v>947</v>
      </c>
      <c r="BG41" s="49" t="s">
        <v>948</v>
      </c>
      <c r="BH41" s="33" t="s">
        <v>949</v>
      </c>
      <c r="BI41" s="33" t="s">
        <v>125</v>
      </c>
      <c r="BJ41" s="33" t="s">
        <v>950</v>
      </c>
      <c r="BK41" s="33" t="s">
        <v>951</v>
      </c>
      <c r="BL41" s="33" t="s">
        <v>305</v>
      </c>
      <c r="BM41" s="33" t="s">
        <v>129</v>
      </c>
      <c r="BN41" s="42" t="s">
        <v>952</v>
      </c>
      <c r="BO41" s="13" t="s">
        <v>953</v>
      </c>
      <c r="BP41" s="43" t="s">
        <v>954</v>
      </c>
      <c r="BQ41" s="13" t="s">
        <v>955</v>
      </c>
      <c r="BR41" s="13"/>
      <c r="BS41" s="13"/>
      <c r="BT41" s="13"/>
      <c r="BV41" s="14">
        <f t="shared" ref="BV41:BV66" si="9">R41+1</f>
        <v>17</v>
      </c>
      <c r="BW41" s="13"/>
      <c r="BX41" s="15">
        <f t="shared" ref="BX41:BX59" si="10">T41+1</f>
        <v>17</v>
      </c>
    </row>
    <row r="42" spans="1:76" s="3" customFormat="1" ht="18.75" customHeight="1" x14ac:dyDescent="0.25">
      <c r="A42" s="16">
        <v>35</v>
      </c>
      <c r="B42" s="13" t="s">
        <v>956</v>
      </c>
      <c r="C42" s="17" t="s">
        <v>957</v>
      </c>
      <c r="D42" s="18" t="s">
        <v>69</v>
      </c>
      <c r="E42" s="19">
        <v>1</v>
      </c>
      <c r="F42" s="19"/>
      <c r="G42" s="16" t="s">
        <v>958</v>
      </c>
      <c r="H42" s="16" t="s">
        <v>959</v>
      </c>
      <c r="I42" s="16" t="s">
        <v>82</v>
      </c>
      <c r="J42" s="17" t="s">
        <v>905</v>
      </c>
      <c r="K42" s="16" t="s">
        <v>906</v>
      </c>
      <c r="L42" s="46" t="s">
        <v>960</v>
      </c>
      <c r="M42" s="46"/>
      <c r="N42" s="46"/>
      <c r="O42" s="46" t="s">
        <v>287</v>
      </c>
      <c r="P42" s="16">
        <v>0</v>
      </c>
      <c r="Q42" s="16">
        <v>0</v>
      </c>
      <c r="R42" s="24">
        <v>14</v>
      </c>
      <c r="S42" s="24">
        <v>3</v>
      </c>
      <c r="T42" s="25">
        <v>14</v>
      </c>
      <c r="U42" s="25">
        <v>3</v>
      </c>
      <c r="V42" s="16" t="s">
        <v>85</v>
      </c>
      <c r="W42" s="16"/>
      <c r="X42" s="16">
        <v>2013</v>
      </c>
      <c r="Y42" s="13"/>
      <c r="Z42" s="13"/>
      <c r="AA42" s="17" t="s">
        <v>196</v>
      </c>
      <c r="AB42" s="27" t="s">
        <v>961</v>
      </c>
      <c r="AC42" s="27" t="str">
        <f t="shared" si="0"/>
        <v>02</v>
      </c>
      <c r="AD42" s="28" t="str">
        <f t="shared" si="1"/>
        <v>1983</v>
      </c>
      <c r="AE42" s="44" t="s">
        <v>962</v>
      </c>
      <c r="AF42" s="30">
        <f t="shared" si="7"/>
        <v>2043</v>
      </c>
      <c r="AG42" s="31" t="s">
        <v>963</v>
      </c>
      <c r="AH42" s="32" t="s">
        <v>964</v>
      </c>
      <c r="AI42" s="31" t="s">
        <v>965</v>
      </c>
      <c r="AJ42" s="31" t="s">
        <v>88</v>
      </c>
      <c r="AK42" s="33" t="s">
        <v>966</v>
      </c>
      <c r="AL42" s="33">
        <v>5</v>
      </c>
      <c r="AM42" s="33">
        <v>1</v>
      </c>
      <c r="AN42" s="33" t="s">
        <v>235</v>
      </c>
      <c r="AO42" s="33" t="s">
        <v>235</v>
      </c>
      <c r="AP42" s="33" t="s">
        <v>110</v>
      </c>
      <c r="AQ42" s="33">
        <v>65314</v>
      </c>
      <c r="AR42" s="33" t="s">
        <v>967</v>
      </c>
      <c r="AS42" s="33" t="s">
        <v>968</v>
      </c>
      <c r="AT42" s="35" t="s">
        <v>969</v>
      </c>
      <c r="AU42" s="35" t="s">
        <v>970</v>
      </c>
      <c r="AV42" s="47" t="s">
        <v>287</v>
      </c>
      <c r="AW42" s="31" t="s">
        <v>971</v>
      </c>
      <c r="AX42" s="31" t="s">
        <v>972</v>
      </c>
      <c r="AY42" s="38" t="s">
        <v>456</v>
      </c>
      <c r="AZ42" s="31" t="s">
        <v>714</v>
      </c>
      <c r="BA42" s="48" t="s">
        <v>973</v>
      </c>
      <c r="BB42" s="48" t="s">
        <v>974</v>
      </c>
      <c r="BC42" s="46" t="s">
        <v>960</v>
      </c>
      <c r="BD42" s="33" t="s">
        <v>121</v>
      </c>
      <c r="BE42" s="40" t="str">
        <f t="shared" si="8"/>
        <v>III/c</v>
      </c>
      <c r="BF42" s="49" t="s">
        <v>947</v>
      </c>
      <c r="BG42" s="49" t="s">
        <v>304</v>
      </c>
      <c r="BH42" s="33" t="s">
        <v>975</v>
      </c>
      <c r="BI42" s="33" t="s">
        <v>125</v>
      </c>
      <c r="BJ42" s="33" t="s">
        <v>976</v>
      </c>
      <c r="BK42" s="33" t="s">
        <v>977</v>
      </c>
      <c r="BL42" s="33" t="s">
        <v>128</v>
      </c>
      <c r="BM42" s="33" t="s">
        <v>129</v>
      </c>
      <c r="BN42" s="42" t="s">
        <v>978</v>
      </c>
      <c r="BO42" s="13" t="s">
        <v>979</v>
      </c>
      <c r="BP42" s="43" t="s">
        <v>980</v>
      </c>
      <c r="BQ42" s="13" t="s">
        <v>967</v>
      </c>
      <c r="BR42" s="13"/>
      <c r="BS42" s="13"/>
      <c r="BT42" s="13"/>
      <c r="BV42" s="14">
        <f t="shared" si="9"/>
        <v>15</v>
      </c>
      <c r="BW42" s="13"/>
      <c r="BX42" s="15">
        <f t="shared" si="10"/>
        <v>15</v>
      </c>
    </row>
    <row r="43" spans="1:76" s="3" customFormat="1" ht="18.75" customHeight="1" x14ac:dyDescent="0.25">
      <c r="A43" s="16">
        <v>36</v>
      </c>
      <c r="B43" s="13" t="s">
        <v>981</v>
      </c>
      <c r="C43" s="17" t="s">
        <v>982</v>
      </c>
      <c r="D43" s="18" t="s">
        <v>70</v>
      </c>
      <c r="E43" s="19"/>
      <c r="F43" s="19">
        <v>1</v>
      </c>
      <c r="G43" s="16" t="s">
        <v>983</v>
      </c>
      <c r="H43" s="16" t="s">
        <v>984</v>
      </c>
      <c r="I43" s="16" t="s">
        <v>82</v>
      </c>
      <c r="J43" s="17" t="s">
        <v>905</v>
      </c>
      <c r="K43" s="16" t="s">
        <v>906</v>
      </c>
      <c r="L43" s="46" t="s">
        <v>985</v>
      </c>
      <c r="M43" s="46"/>
      <c r="N43" s="46"/>
      <c r="O43" s="46" t="s">
        <v>287</v>
      </c>
      <c r="P43" s="16">
        <v>6</v>
      </c>
      <c r="Q43" s="16">
        <v>3</v>
      </c>
      <c r="R43" s="24">
        <v>20</v>
      </c>
      <c r="S43" s="24">
        <v>6</v>
      </c>
      <c r="T43" s="25">
        <v>20</v>
      </c>
      <c r="U43" s="25">
        <v>6</v>
      </c>
      <c r="V43" s="16" t="s">
        <v>257</v>
      </c>
      <c r="W43" s="16"/>
      <c r="X43" s="16">
        <v>1998</v>
      </c>
      <c r="Y43" s="13" t="s">
        <v>986</v>
      </c>
      <c r="Z43" s="13"/>
      <c r="AA43" s="17" t="s">
        <v>987</v>
      </c>
      <c r="AB43" s="27" t="s">
        <v>988</v>
      </c>
      <c r="AC43" s="27" t="str">
        <f t="shared" si="0"/>
        <v>12</v>
      </c>
      <c r="AD43" s="28" t="str">
        <f t="shared" si="1"/>
        <v>1972</v>
      </c>
      <c r="AE43" s="44" t="s">
        <v>989</v>
      </c>
      <c r="AF43" s="30">
        <f>AD43+60+1</f>
        <v>2033</v>
      </c>
      <c r="AG43" s="31" t="s">
        <v>990</v>
      </c>
      <c r="AH43" s="32" t="s">
        <v>991</v>
      </c>
      <c r="AI43" s="31" t="s">
        <v>992</v>
      </c>
      <c r="AJ43" s="31" t="s">
        <v>88</v>
      </c>
      <c r="AK43" s="33" t="s">
        <v>993</v>
      </c>
      <c r="AL43" s="33">
        <v>7</v>
      </c>
      <c r="AM43" s="33">
        <v>1</v>
      </c>
      <c r="AN43" s="33" t="s">
        <v>235</v>
      </c>
      <c r="AO43" s="33" t="s">
        <v>235</v>
      </c>
      <c r="AP43" s="33" t="s">
        <v>110</v>
      </c>
      <c r="AQ43" s="33">
        <v>65314</v>
      </c>
      <c r="AR43" s="33" t="s">
        <v>994</v>
      </c>
      <c r="AS43" s="34" t="s">
        <v>995</v>
      </c>
      <c r="AT43" s="35" t="s">
        <v>996</v>
      </c>
      <c r="AU43" s="35" t="s">
        <v>997</v>
      </c>
      <c r="AV43" s="47" t="s">
        <v>287</v>
      </c>
      <c r="AW43" s="31" t="s">
        <v>971</v>
      </c>
      <c r="AX43" s="31" t="s">
        <v>972</v>
      </c>
      <c r="AY43" s="38" t="s">
        <v>456</v>
      </c>
      <c r="AZ43" s="31" t="s">
        <v>714</v>
      </c>
      <c r="BA43" s="48" t="s">
        <v>998</v>
      </c>
      <c r="BB43" s="48" t="s">
        <v>999</v>
      </c>
      <c r="BC43" s="46" t="s">
        <v>985</v>
      </c>
      <c r="BD43" s="33" t="s">
        <v>121</v>
      </c>
      <c r="BE43" s="40" t="str">
        <f t="shared" si="8"/>
        <v>III/c</v>
      </c>
      <c r="BF43" s="49" t="s">
        <v>947</v>
      </c>
      <c r="BG43" s="49" t="s">
        <v>948</v>
      </c>
      <c r="BH43" s="33" t="s">
        <v>1000</v>
      </c>
      <c r="BI43" s="33" t="s">
        <v>125</v>
      </c>
      <c r="BJ43" s="33" t="s">
        <v>1001</v>
      </c>
      <c r="BK43" s="33"/>
      <c r="BL43" s="33"/>
      <c r="BM43" s="33"/>
      <c r="BN43" s="42" t="s">
        <v>1002</v>
      </c>
      <c r="BO43" s="13" t="s">
        <v>1003</v>
      </c>
      <c r="BP43" s="50" t="s">
        <v>1004</v>
      </c>
      <c r="BQ43" s="13" t="s">
        <v>994</v>
      </c>
      <c r="BR43" s="13"/>
      <c r="BS43" s="13"/>
      <c r="BT43" s="13"/>
      <c r="BV43" s="14">
        <f t="shared" si="9"/>
        <v>21</v>
      </c>
      <c r="BW43" s="13"/>
      <c r="BX43" s="15">
        <f t="shared" si="10"/>
        <v>21</v>
      </c>
    </row>
    <row r="44" spans="1:76" s="3" customFormat="1" ht="18.75" customHeight="1" x14ac:dyDescent="0.25">
      <c r="A44" s="16">
        <v>37</v>
      </c>
      <c r="B44" s="13" t="s">
        <v>1005</v>
      </c>
      <c r="C44" s="17" t="s">
        <v>1006</v>
      </c>
      <c r="D44" s="18" t="s">
        <v>70</v>
      </c>
      <c r="E44" s="19"/>
      <c r="F44" s="19">
        <v>1</v>
      </c>
      <c r="G44" s="16" t="s">
        <v>1007</v>
      </c>
      <c r="H44" s="16" t="s">
        <v>1008</v>
      </c>
      <c r="I44" s="16" t="s">
        <v>82</v>
      </c>
      <c r="J44" s="17" t="s">
        <v>905</v>
      </c>
      <c r="K44" s="16" t="s">
        <v>906</v>
      </c>
      <c r="L44" s="46" t="s">
        <v>907</v>
      </c>
      <c r="M44" s="46"/>
      <c r="N44" s="46"/>
      <c r="O44" s="46" t="s">
        <v>287</v>
      </c>
      <c r="P44" s="16">
        <v>7</v>
      </c>
      <c r="Q44" s="16">
        <v>9</v>
      </c>
      <c r="R44" s="24">
        <v>22</v>
      </c>
      <c r="S44" s="24">
        <v>3</v>
      </c>
      <c r="T44" s="25">
        <v>22</v>
      </c>
      <c r="U44" s="25">
        <v>3</v>
      </c>
      <c r="V44" s="16" t="s">
        <v>257</v>
      </c>
      <c r="W44" s="16"/>
      <c r="X44" s="16">
        <v>1995</v>
      </c>
      <c r="Y44" s="13"/>
      <c r="Z44" s="13"/>
      <c r="AA44" s="17" t="s">
        <v>101</v>
      </c>
      <c r="AB44" s="27" t="s">
        <v>1009</v>
      </c>
      <c r="AC44" s="27" t="str">
        <f t="shared" si="0"/>
        <v>04</v>
      </c>
      <c r="AD44" s="28" t="str">
        <f t="shared" si="1"/>
        <v>1971</v>
      </c>
      <c r="AE44" s="44" t="s">
        <v>1010</v>
      </c>
      <c r="AF44" s="30">
        <f>AD44+60</f>
        <v>2031</v>
      </c>
      <c r="AG44" s="31" t="s">
        <v>1011</v>
      </c>
      <c r="AH44" s="32" t="s">
        <v>857</v>
      </c>
      <c r="AI44" s="31" t="s">
        <v>1012</v>
      </c>
      <c r="AJ44" s="31" t="s">
        <v>88</v>
      </c>
      <c r="AK44" s="33" t="s">
        <v>1013</v>
      </c>
      <c r="AL44" s="33">
        <v>7</v>
      </c>
      <c r="AM44" s="33">
        <v>12</v>
      </c>
      <c r="AN44" s="33" t="s">
        <v>145</v>
      </c>
      <c r="AO44" s="33" t="s">
        <v>145</v>
      </c>
      <c r="AP44" s="33" t="s">
        <v>110</v>
      </c>
      <c r="AQ44" s="33">
        <v>65311</v>
      </c>
      <c r="AR44" s="13" t="s">
        <v>737</v>
      </c>
      <c r="AS44" s="33" t="s">
        <v>1014</v>
      </c>
      <c r="AT44" s="35" t="s">
        <v>1015</v>
      </c>
      <c r="AU44" s="35" t="s">
        <v>1016</v>
      </c>
      <c r="AV44" s="47" t="s">
        <v>287</v>
      </c>
      <c r="AW44" s="31" t="s">
        <v>971</v>
      </c>
      <c r="AX44" s="31" t="s">
        <v>972</v>
      </c>
      <c r="AY44" s="38" t="s">
        <v>456</v>
      </c>
      <c r="AZ44" s="31" t="s">
        <v>153</v>
      </c>
      <c r="BA44" s="48" t="s">
        <v>918</v>
      </c>
      <c r="BB44" s="48" t="s">
        <v>919</v>
      </c>
      <c r="BC44" s="46" t="s">
        <v>907</v>
      </c>
      <c r="BD44" s="33" t="s">
        <v>893</v>
      </c>
      <c r="BE44" s="40" t="str">
        <f t="shared" si="8"/>
        <v>III/c</v>
      </c>
      <c r="BF44" s="49" t="s">
        <v>1017</v>
      </c>
      <c r="BG44" s="49" t="s">
        <v>1018</v>
      </c>
      <c r="BH44" s="33" t="s">
        <v>1019</v>
      </c>
      <c r="BI44" s="33" t="s">
        <v>125</v>
      </c>
      <c r="BJ44" s="33" t="s">
        <v>1020</v>
      </c>
      <c r="BK44" s="33" t="s">
        <v>1021</v>
      </c>
      <c r="BL44" s="33" t="s">
        <v>128</v>
      </c>
      <c r="BM44" s="33" t="s">
        <v>129</v>
      </c>
      <c r="BN44" s="42" t="s">
        <v>1022</v>
      </c>
      <c r="BO44" s="13" t="s">
        <v>1023</v>
      </c>
      <c r="BP44" s="43" t="s">
        <v>1024</v>
      </c>
      <c r="BQ44" s="13" t="s">
        <v>737</v>
      </c>
      <c r="BR44" s="13"/>
      <c r="BS44" s="13"/>
      <c r="BT44" s="13"/>
      <c r="BV44" s="14">
        <f t="shared" si="9"/>
        <v>23</v>
      </c>
      <c r="BW44" s="13"/>
      <c r="BX44" s="15">
        <f t="shared" si="10"/>
        <v>23</v>
      </c>
    </row>
    <row r="45" spans="1:76" s="3" customFormat="1" ht="18.75" customHeight="1" x14ac:dyDescent="0.3">
      <c r="A45" s="16">
        <v>38</v>
      </c>
      <c r="B45" s="13" t="s">
        <v>1025</v>
      </c>
      <c r="C45" s="17" t="s">
        <v>1026</v>
      </c>
      <c r="D45" s="16" t="s">
        <v>70</v>
      </c>
      <c r="E45" s="19"/>
      <c r="F45" s="19">
        <v>1</v>
      </c>
      <c r="G45" s="16" t="s">
        <v>1027</v>
      </c>
      <c r="H45" s="16" t="s">
        <v>1028</v>
      </c>
      <c r="I45" s="16" t="s">
        <v>82</v>
      </c>
      <c r="J45" s="17" t="s">
        <v>1029</v>
      </c>
      <c r="K45" s="16" t="s">
        <v>906</v>
      </c>
      <c r="L45" s="16" t="s">
        <v>1030</v>
      </c>
      <c r="M45" s="16">
        <v>11</v>
      </c>
      <c r="N45" s="16">
        <v>10</v>
      </c>
      <c r="O45" s="51" t="s">
        <v>1031</v>
      </c>
      <c r="P45" s="16"/>
      <c r="Q45" s="16"/>
      <c r="R45" s="16">
        <v>11</v>
      </c>
      <c r="S45" s="16">
        <v>10</v>
      </c>
      <c r="T45" s="16"/>
      <c r="U45" s="52"/>
      <c r="V45" s="16" t="s">
        <v>257</v>
      </c>
      <c r="W45" s="17" t="s">
        <v>1032</v>
      </c>
      <c r="X45" s="16">
        <v>2008</v>
      </c>
      <c r="Y45" s="13"/>
      <c r="Z45" s="13"/>
      <c r="AA45" s="53" t="s">
        <v>1032</v>
      </c>
      <c r="AB45" s="30" t="s">
        <v>1033</v>
      </c>
      <c r="AC45" s="27"/>
      <c r="AD45" s="54"/>
      <c r="AE45" s="44" t="s">
        <v>1034</v>
      </c>
      <c r="AF45" s="44">
        <v>2046</v>
      </c>
      <c r="AG45" s="30"/>
      <c r="AH45" s="29"/>
      <c r="AI45" s="30"/>
      <c r="AJ45" s="55" t="s">
        <v>88</v>
      </c>
      <c r="AK45" s="13" t="s">
        <v>1035</v>
      </c>
      <c r="AL45" s="13">
        <v>6</v>
      </c>
      <c r="AM45" s="13">
        <v>1</v>
      </c>
      <c r="AN45" s="13" t="s">
        <v>1036</v>
      </c>
      <c r="AO45" s="13" t="s">
        <v>1036</v>
      </c>
      <c r="AP45" s="13" t="s">
        <v>883</v>
      </c>
      <c r="AQ45" s="13">
        <v>65334</v>
      </c>
      <c r="AR45" s="13" t="s">
        <v>1037</v>
      </c>
      <c r="AS45" s="56" t="s">
        <v>1038</v>
      </c>
      <c r="AT45" s="57" t="s">
        <v>1039</v>
      </c>
      <c r="AU45" s="57" t="s">
        <v>1040</v>
      </c>
      <c r="AV45" s="58" t="s">
        <v>1041</v>
      </c>
      <c r="AW45" s="55" t="s">
        <v>1042</v>
      </c>
      <c r="AX45" s="31" t="s">
        <v>1043</v>
      </c>
      <c r="AY45" s="38" t="s">
        <v>1044</v>
      </c>
      <c r="AZ45" s="31" t="s">
        <v>714</v>
      </c>
      <c r="BA45" s="13" t="s">
        <v>1045</v>
      </c>
      <c r="BB45" s="13" t="s">
        <v>1046</v>
      </c>
      <c r="BC45" s="16" t="s">
        <v>1047</v>
      </c>
      <c r="BD45" s="33" t="s">
        <v>893</v>
      </c>
      <c r="BE45" s="33" t="str">
        <f t="shared" si="8"/>
        <v>III/c</v>
      </c>
      <c r="BF45" s="49" t="s">
        <v>1048</v>
      </c>
      <c r="BG45" s="49" t="s">
        <v>1049</v>
      </c>
      <c r="BH45" s="13" t="s">
        <v>1050</v>
      </c>
      <c r="BI45" s="13" t="s">
        <v>125</v>
      </c>
      <c r="BJ45" s="13" t="s">
        <v>1051</v>
      </c>
      <c r="BK45" s="13"/>
      <c r="BL45" s="13" t="s">
        <v>1052</v>
      </c>
      <c r="BM45" s="13"/>
      <c r="BN45" s="59" t="s">
        <v>1053</v>
      </c>
      <c r="BO45" s="13"/>
      <c r="BP45" s="33" t="s">
        <v>1054</v>
      </c>
      <c r="BQ45" s="13" t="s">
        <v>1037</v>
      </c>
      <c r="BR45" s="13"/>
      <c r="BS45" s="13"/>
      <c r="BT45" s="13"/>
      <c r="BV45" s="13">
        <f t="shared" si="9"/>
        <v>12</v>
      </c>
      <c r="BW45" s="13"/>
      <c r="BX45" s="13">
        <f t="shared" si="10"/>
        <v>1</v>
      </c>
    </row>
    <row r="46" spans="1:76" s="3" customFormat="1" ht="18.75" customHeight="1" x14ac:dyDescent="0.25">
      <c r="A46" s="16">
        <v>39</v>
      </c>
      <c r="B46" s="13" t="s">
        <v>1055</v>
      </c>
      <c r="C46" s="17" t="s">
        <v>1056</v>
      </c>
      <c r="D46" s="18" t="s">
        <v>69</v>
      </c>
      <c r="E46" s="19">
        <v>1</v>
      </c>
      <c r="F46" s="19"/>
      <c r="G46" s="16" t="s">
        <v>1057</v>
      </c>
      <c r="H46" s="16" t="s">
        <v>1058</v>
      </c>
      <c r="I46" s="16" t="s">
        <v>82</v>
      </c>
      <c r="J46" s="17" t="s">
        <v>1059</v>
      </c>
      <c r="K46" s="16" t="s">
        <v>1060</v>
      </c>
      <c r="L46" s="46" t="s">
        <v>729</v>
      </c>
      <c r="M46" s="46"/>
      <c r="N46" s="46"/>
      <c r="O46" s="46" t="s">
        <v>287</v>
      </c>
      <c r="P46" s="16">
        <v>7</v>
      </c>
      <c r="Q46" s="16">
        <v>8</v>
      </c>
      <c r="R46" s="24">
        <v>21</v>
      </c>
      <c r="S46" s="24">
        <v>11</v>
      </c>
      <c r="T46" s="25">
        <v>21</v>
      </c>
      <c r="U46" s="25">
        <v>11</v>
      </c>
      <c r="V46" s="16" t="s">
        <v>257</v>
      </c>
      <c r="W46" s="16"/>
      <c r="X46" s="16">
        <v>1998</v>
      </c>
      <c r="Y46" s="13"/>
      <c r="Z46" s="13"/>
      <c r="AA46" s="17" t="s">
        <v>168</v>
      </c>
      <c r="AB46" s="27" t="s">
        <v>1061</v>
      </c>
      <c r="AC46" s="27" t="str">
        <f t="shared" ref="AC46:AC59" si="11">MID(G46,5,2)</f>
        <v>07</v>
      </c>
      <c r="AD46" s="28" t="str">
        <f t="shared" ref="AD46:AD59" si="12">MID(G46,1,4)</f>
        <v>1973</v>
      </c>
      <c r="AE46" s="44" t="s">
        <v>1062</v>
      </c>
      <c r="AF46" s="30">
        <f t="shared" ref="AF46:AF58" si="13">AD46+60</f>
        <v>2033</v>
      </c>
      <c r="AG46" s="31" t="s">
        <v>1063</v>
      </c>
      <c r="AH46" s="32" t="s">
        <v>702</v>
      </c>
      <c r="AI46" s="31" t="s">
        <v>1064</v>
      </c>
      <c r="AJ46" s="31" t="s">
        <v>88</v>
      </c>
      <c r="AK46" s="33" t="s">
        <v>1065</v>
      </c>
      <c r="AL46" s="33">
        <v>1</v>
      </c>
      <c r="AM46" s="33">
        <v>3</v>
      </c>
      <c r="AN46" s="33"/>
      <c r="AO46" s="33" t="s">
        <v>235</v>
      </c>
      <c r="AP46" s="33" t="s">
        <v>110</v>
      </c>
      <c r="AQ46" s="33">
        <v>65314</v>
      </c>
      <c r="AR46" s="33" t="s">
        <v>1066</v>
      </c>
      <c r="AS46" s="33" t="s">
        <v>1067</v>
      </c>
      <c r="AT46" s="35" t="s">
        <v>1068</v>
      </c>
      <c r="AU46" s="35" t="s">
        <v>1016</v>
      </c>
      <c r="AV46" s="47" t="s">
        <v>287</v>
      </c>
      <c r="AW46" s="31" t="s">
        <v>1069</v>
      </c>
      <c r="AX46" s="31" t="s">
        <v>1070</v>
      </c>
      <c r="AY46" s="38" t="s">
        <v>456</v>
      </c>
      <c r="AZ46" s="31" t="s">
        <v>714</v>
      </c>
      <c r="BA46" s="48" t="s">
        <v>744</v>
      </c>
      <c r="BB46" s="48" t="s">
        <v>745</v>
      </c>
      <c r="BC46" s="46" t="s">
        <v>729</v>
      </c>
      <c r="BD46" s="33" t="s">
        <v>121</v>
      </c>
      <c r="BE46" s="40" t="str">
        <f t="shared" si="8"/>
        <v>III/b</v>
      </c>
      <c r="BF46" s="49" t="s">
        <v>947</v>
      </c>
      <c r="BG46" s="49" t="s">
        <v>948</v>
      </c>
      <c r="BH46" s="33" t="s">
        <v>124</v>
      </c>
      <c r="BI46" s="33" t="s">
        <v>125</v>
      </c>
      <c r="BJ46" s="33" t="s">
        <v>1071</v>
      </c>
      <c r="BK46" s="33" t="s">
        <v>1072</v>
      </c>
      <c r="BL46" s="33" t="s">
        <v>128</v>
      </c>
      <c r="BM46" s="33" t="s">
        <v>129</v>
      </c>
      <c r="BN46" s="42" t="s">
        <v>1073</v>
      </c>
      <c r="BO46" s="13" t="s">
        <v>1074</v>
      </c>
      <c r="BP46" s="43" t="s">
        <v>1075</v>
      </c>
      <c r="BQ46" s="13" t="s">
        <v>1076</v>
      </c>
      <c r="BR46" s="13"/>
      <c r="BS46" s="13"/>
      <c r="BT46" s="13"/>
      <c r="BV46" s="14">
        <f t="shared" si="9"/>
        <v>22</v>
      </c>
      <c r="BW46" s="13"/>
      <c r="BX46" s="15">
        <f t="shared" si="10"/>
        <v>22</v>
      </c>
    </row>
    <row r="47" spans="1:76" s="3" customFormat="1" ht="18.75" customHeight="1" x14ac:dyDescent="0.25">
      <c r="A47" s="16">
        <v>40</v>
      </c>
      <c r="B47" s="13" t="s">
        <v>1077</v>
      </c>
      <c r="C47" s="17" t="s">
        <v>1078</v>
      </c>
      <c r="D47" s="18" t="s">
        <v>69</v>
      </c>
      <c r="E47" s="19">
        <v>1</v>
      </c>
      <c r="F47" s="19"/>
      <c r="G47" s="16" t="s">
        <v>1079</v>
      </c>
      <c r="H47" s="16" t="s">
        <v>1080</v>
      </c>
      <c r="I47" s="16" t="s">
        <v>82</v>
      </c>
      <c r="J47" s="17" t="s">
        <v>1059</v>
      </c>
      <c r="K47" s="16" t="s">
        <v>1060</v>
      </c>
      <c r="L47" s="46" t="s">
        <v>1081</v>
      </c>
      <c r="M47" s="46"/>
      <c r="N47" s="46"/>
      <c r="O47" s="46" t="s">
        <v>931</v>
      </c>
      <c r="P47" s="16">
        <v>2</v>
      </c>
      <c r="Q47" s="16">
        <v>0</v>
      </c>
      <c r="R47" s="24">
        <v>15</v>
      </c>
      <c r="S47" s="24">
        <v>6</v>
      </c>
      <c r="T47" s="25">
        <v>15</v>
      </c>
      <c r="U47" s="25">
        <v>6</v>
      </c>
      <c r="V47" s="16" t="s">
        <v>85</v>
      </c>
      <c r="W47" s="16"/>
      <c r="X47" s="16">
        <v>2013</v>
      </c>
      <c r="Y47" s="13"/>
      <c r="Z47" s="13"/>
      <c r="AA47" s="17" t="s">
        <v>1082</v>
      </c>
      <c r="AB47" s="27" t="s">
        <v>1083</v>
      </c>
      <c r="AC47" s="27" t="str">
        <f t="shared" si="11"/>
        <v>03</v>
      </c>
      <c r="AD47" s="28" t="str">
        <f t="shared" si="12"/>
        <v>1964</v>
      </c>
      <c r="AE47" s="44" t="s">
        <v>1084</v>
      </c>
      <c r="AF47" s="30">
        <f t="shared" si="13"/>
        <v>2024</v>
      </c>
      <c r="AG47" s="31" t="s">
        <v>1085</v>
      </c>
      <c r="AH47" s="32" t="s">
        <v>1086</v>
      </c>
      <c r="AI47" s="31" t="s">
        <v>1087</v>
      </c>
      <c r="AJ47" s="31" t="s">
        <v>1088</v>
      </c>
      <c r="AK47" s="33" t="s">
        <v>1089</v>
      </c>
      <c r="AL47" s="33">
        <v>1</v>
      </c>
      <c r="AM47" s="33">
        <v>15</v>
      </c>
      <c r="AN47" s="33" t="s">
        <v>1090</v>
      </c>
      <c r="AO47" s="33" t="s">
        <v>1090</v>
      </c>
      <c r="AP47" s="33" t="s">
        <v>296</v>
      </c>
      <c r="AQ47" s="33">
        <v>65142</v>
      </c>
      <c r="AR47" s="13" t="s">
        <v>1091</v>
      </c>
      <c r="AS47" s="34" t="s">
        <v>1092</v>
      </c>
      <c r="AT47" s="35" t="s">
        <v>1093</v>
      </c>
      <c r="AU47" s="35" t="s">
        <v>1094</v>
      </c>
      <c r="AV47" s="47" t="s">
        <v>931</v>
      </c>
      <c r="AW47" s="31" t="s">
        <v>1095</v>
      </c>
      <c r="AX47" s="31" t="s">
        <v>943</v>
      </c>
      <c r="AY47" s="38" t="s">
        <v>944</v>
      </c>
      <c r="AZ47" s="31" t="s">
        <v>714</v>
      </c>
      <c r="BA47" s="48" t="s">
        <v>1096</v>
      </c>
      <c r="BB47" s="48" t="s">
        <v>1097</v>
      </c>
      <c r="BC47" s="46" t="s">
        <v>1081</v>
      </c>
      <c r="BD47" s="33" t="s">
        <v>121</v>
      </c>
      <c r="BE47" s="40" t="str">
        <f t="shared" si="8"/>
        <v>III/b</v>
      </c>
      <c r="BF47" s="49" t="s">
        <v>947</v>
      </c>
      <c r="BG47" s="49" t="s">
        <v>948</v>
      </c>
      <c r="BH47" s="33" t="s">
        <v>1098</v>
      </c>
      <c r="BI47" s="33" t="s">
        <v>125</v>
      </c>
      <c r="BJ47" s="33" t="s">
        <v>1099</v>
      </c>
      <c r="BK47" s="33"/>
      <c r="BL47" s="33" t="s">
        <v>329</v>
      </c>
      <c r="BM47" s="33" t="s">
        <v>129</v>
      </c>
      <c r="BN47" s="42" t="s">
        <v>1100</v>
      </c>
      <c r="BO47" s="13" t="s">
        <v>1101</v>
      </c>
      <c r="BP47" s="43" t="s">
        <v>1102</v>
      </c>
      <c r="BQ47" s="13" t="s">
        <v>1091</v>
      </c>
      <c r="BR47" s="13"/>
      <c r="BS47" s="13"/>
      <c r="BT47" s="13"/>
      <c r="BV47" s="14">
        <f t="shared" si="9"/>
        <v>16</v>
      </c>
      <c r="BW47" s="13"/>
      <c r="BX47" s="15">
        <f t="shared" si="10"/>
        <v>16</v>
      </c>
    </row>
    <row r="48" spans="1:76" s="3" customFormat="1" ht="18.75" customHeight="1" x14ac:dyDescent="0.25">
      <c r="A48" s="16">
        <v>41</v>
      </c>
      <c r="B48" s="13" t="s">
        <v>1103</v>
      </c>
      <c r="C48" s="17" t="s">
        <v>1104</v>
      </c>
      <c r="D48" s="18" t="s">
        <v>69</v>
      </c>
      <c r="E48" s="19">
        <v>1</v>
      </c>
      <c r="F48" s="19"/>
      <c r="G48" s="16" t="s">
        <v>1105</v>
      </c>
      <c r="H48" s="16" t="s">
        <v>1106</v>
      </c>
      <c r="I48" s="16" t="s">
        <v>82</v>
      </c>
      <c r="J48" s="17" t="s">
        <v>1059</v>
      </c>
      <c r="K48" s="16" t="s">
        <v>1060</v>
      </c>
      <c r="L48" s="46" t="s">
        <v>1081</v>
      </c>
      <c r="M48" s="46"/>
      <c r="N48" s="46"/>
      <c r="O48" s="46" t="s">
        <v>931</v>
      </c>
      <c r="P48" s="16">
        <v>2</v>
      </c>
      <c r="Q48" s="16">
        <v>0</v>
      </c>
      <c r="R48" s="24">
        <v>15</v>
      </c>
      <c r="S48" s="24">
        <v>6</v>
      </c>
      <c r="T48" s="25">
        <v>15</v>
      </c>
      <c r="U48" s="25">
        <v>6</v>
      </c>
      <c r="V48" s="16" t="s">
        <v>257</v>
      </c>
      <c r="W48" s="16"/>
      <c r="X48" s="16">
        <v>1989</v>
      </c>
      <c r="Y48" s="13"/>
      <c r="Z48" s="13"/>
      <c r="AA48" s="17" t="s">
        <v>258</v>
      </c>
      <c r="AB48" s="27" t="s">
        <v>1107</v>
      </c>
      <c r="AC48" s="27" t="str">
        <f t="shared" si="11"/>
        <v>10</v>
      </c>
      <c r="AD48" s="28" t="str">
        <f t="shared" si="12"/>
        <v>1963</v>
      </c>
      <c r="AE48" s="44" t="s">
        <v>1108</v>
      </c>
      <c r="AF48" s="30">
        <f t="shared" si="13"/>
        <v>2023</v>
      </c>
      <c r="AG48" s="31" t="s">
        <v>1109</v>
      </c>
      <c r="AH48" s="32" t="s">
        <v>1110</v>
      </c>
      <c r="AI48" s="31" t="s">
        <v>1111</v>
      </c>
      <c r="AJ48" s="31" t="s">
        <v>1088</v>
      </c>
      <c r="AK48" s="33" t="s">
        <v>1112</v>
      </c>
      <c r="AL48" s="33">
        <v>4</v>
      </c>
      <c r="AM48" s="33">
        <v>1</v>
      </c>
      <c r="AN48" s="33" t="s">
        <v>124</v>
      </c>
      <c r="AO48" s="33" t="s">
        <v>1113</v>
      </c>
      <c r="AP48" s="33" t="s">
        <v>1114</v>
      </c>
      <c r="AQ48" s="33">
        <v>65161</v>
      </c>
      <c r="AR48" s="33" t="s">
        <v>1115</v>
      </c>
      <c r="AS48" s="33" t="s">
        <v>1116</v>
      </c>
      <c r="AT48" s="35" t="s">
        <v>1117</v>
      </c>
      <c r="AU48" s="35" t="s">
        <v>1094</v>
      </c>
      <c r="AV48" s="47" t="s">
        <v>931</v>
      </c>
      <c r="AW48" s="31" t="s">
        <v>1095</v>
      </c>
      <c r="AX48" s="37" t="s">
        <v>943</v>
      </c>
      <c r="AY48" s="38" t="s">
        <v>944</v>
      </c>
      <c r="AZ48" s="31" t="s">
        <v>153</v>
      </c>
      <c r="BA48" s="48" t="s">
        <v>1118</v>
      </c>
      <c r="BB48" s="48" t="s">
        <v>1119</v>
      </c>
      <c r="BC48" s="46" t="s">
        <v>1081</v>
      </c>
      <c r="BD48" s="33" t="s">
        <v>121</v>
      </c>
      <c r="BE48" s="40" t="str">
        <f t="shared" si="8"/>
        <v>III/b</v>
      </c>
      <c r="BF48" s="49" t="s">
        <v>947</v>
      </c>
      <c r="BG48" s="49" t="s">
        <v>948</v>
      </c>
      <c r="BH48" s="33" t="s">
        <v>124</v>
      </c>
      <c r="BI48" s="33" t="s">
        <v>125</v>
      </c>
      <c r="BJ48" s="33" t="s">
        <v>1120</v>
      </c>
      <c r="BK48" s="33"/>
      <c r="BL48" s="33" t="s">
        <v>1121</v>
      </c>
      <c r="BM48" s="33" t="s">
        <v>129</v>
      </c>
      <c r="BN48" s="42" t="s">
        <v>1122</v>
      </c>
      <c r="BO48" s="13" t="s">
        <v>1123</v>
      </c>
      <c r="BP48" s="43" t="s">
        <v>1124</v>
      </c>
      <c r="BQ48" s="13" t="s">
        <v>1125</v>
      </c>
      <c r="BR48" s="13"/>
      <c r="BS48" s="13"/>
      <c r="BT48" s="13"/>
      <c r="BV48" s="14">
        <f t="shared" si="9"/>
        <v>16</v>
      </c>
      <c r="BW48" s="13"/>
      <c r="BX48" s="15">
        <f t="shared" si="10"/>
        <v>16</v>
      </c>
    </row>
    <row r="49" spans="1:76" s="3" customFormat="1" ht="18.75" customHeight="1" x14ac:dyDescent="0.25">
      <c r="A49" s="16">
        <v>42</v>
      </c>
      <c r="B49" s="13" t="s">
        <v>1126</v>
      </c>
      <c r="C49" s="17" t="s">
        <v>1127</v>
      </c>
      <c r="D49" s="18" t="s">
        <v>70</v>
      </c>
      <c r="E49" s="19"/>
      <c r="F49" s="19">
        <v>1</v>
      </c>
      <c r="G49" s="16" t="s">
        <v>1128</v>
      </c>
      <c r="H49" s="16" t="s">
        <v>1129</v>
      </c>
      <c r="I49" s="16" t="s">
        <v>82</v>
      </c>
      <c r="J49" s="17" t="s">
        <v>1059</v>
      </c>
      <c r="K49" s="16" t="s">
        <v>1060</v>
      </c>
      <c r="L49" s="46" t="s">
        <v>647</v>
      </c>
      <c r="M49" s="46"/>
      <c r="N49" s="46"/>
      <c r="O49" s="46" t="s">
        <v>1130</v>
      </c>
      <c r="P49" s="16">
        <v>3</v>
      </c>
      <c r="Q49" s="16">
        <v>0</v>
      </c>
      <c r="R49" s="24">
        <v>15</v>
      </c>
      <c r="S49" s="24">
        <v>6</v>
      </c>
      <c r="T49" s="25">
        <v>15</v>
      </c>
      <c r="U49" s="25">
        <v>6</v>
      </c>
      <c r="V49" s="16" t="s">
        <v>257</v>
      </c>
      <c r="W49" s="16"/>
      <c r="X49" s="16">
        <v>1989</v>
      </c>
      <c r="Y49" s="13"/>
      <c r="Z49" s="13"/>
      <c r="AA49" s="17" t="s">
        <v>101</v>
      </c>
      <c r="AB49" s="27" t="s">
        <v>1131</v>
      </c>
      <c r="AC49" s="27" t="str">
        <f t="shared" si="11"/>
        <v>03</v>
      </c>
      <c r="AD49" s="28" t="str">
        <f t="shared" si="12"/>
        <v>1965</v>
      </c>
      <c r="AE49" s="44" t="s">
        <v>759</v>
      </c>
      <c r="AF49" s="30">
        <f t="shared" si="13"/>
        <v>2025</v>
      </c>
      <c r="AG49" s="31" t="s">
        <v>1132</v>
      </c>
      <c r="AH49" s="32" t="s">
        <v>1133</v>
      </c>
      <c r="AI49" s="31" t="s">
        <v>1134</v>
      </c>
      <c r="AJ49" s="31" t="s">
        <v>88</v>
      </c>
      <c r="AK49" s="33" t="s">
        <v>1135</v>
      </c>
      <c r="AL49" s="33">
        <v>1</v>
      </c>
      <c r="AM49" s="33">
        <v>4</v>
      </c>
      <c r="AN49" s="33" t="s">
        <v>1136</v>
      </c>
      <c r="AO49" s="33" t="s">
        <v>1137</v>
      </c>
      <c r="AP49" s="33" t="s">
        <v>203</v>
      </c>
      <c r="AQ49" s="33">
        <v>65321</v>
      </c>
      <c r="AR49" s="33" t="s">
        <v>1138</v>
      </c>
      <c r="AS49" s="33" t="s">
        <v>1139</v>
      </c>
      <c r="AT49" s="35" t="s">
        <v>1140</v>
      </c>
      <c r="AU49" s="35" t="s">
        <v>1141</v>
      </c>
      <c r="AV49" s="47" t="s">
        <v>1130</v>
      </c>
      <c r="AW49" s="31" t="s">
        <v>1142</v>
      </c>
      <c r="AX49" s="31" t="s">
        <v>1143</v>
      </c>
      <c r="AY49" s="38" t="s">
        <v>1144</v>
      </c>
      <c r="AZ49" s="31" t="s">
        <v>121</v>
      </c>
      <c r="BA49" s="48" t="s">
        <v>821</v>
      </c>
      <c r="BB49" s="48" t="s">
        <v>822</v>
      </c>
      <c r="BC49" s="46" t="s">
        <v>647</v>
      </c>
      <c r="BD49" s="33" t="s">
        <v>121</v>
      </c>
      <c r="BE49" s="40" t="str">
        <f t="shared" si="8"/>
        <v>III/b</v>
      </c>
      <c r="BF49" s="49" t="s">
        <v>1145</v>
      </c>
      <c r="BG49" s="49" t="s">
        <v>1146</v>
      </c>
      <c r="BH49" s="33" t="s">
        <v>1147</v>
      </c>
      <c r="BI49" s="33" t="s">
        <v>303</v>
      </c>
      <c r="BJ49" s="33" t="s">
        <v>304</v>
      </c>
      <c r="BK49" s="33"/>
      <c r="BL49" s="33" t="s">
        <v>305</v>
      </c>
      <c r="BM49" s="33" t="s">
        <v>129</v>
      </c>
      <c r="BN49" s="42" t="s">
        <v>1148</v>
      </c>
      <c r="BO49" s="13" t="s">
        <v>1149</v>
      </c>
      <c r="BP49" s="43" t="s">
        <v>1150</v>
      </c>
      <c r="BQ49" s="13" t="s">
        <v>1138</v>
      </c>
      <c r="BR49" s="13"/>
      <c r="BS49" s="13"/>
      <c r="BT49" s="13"/>
      <c r="BV49" s="14">
        <f t="shared" si="9"/>
        <v>16</v>
      </c>
      <c r="BW49" s="13"/>
      <c r="BX49" s="15">
        <f t="shared" si="10"/>
        <v>16</v>
      </c>
    </row>
    <row r="50" spans="1:76" s="3" customFormat="1" ht="18.75" customHeight="1" x14ac:dyDescent="0.25">
      <c r="A50" s="16">
        <v>43</v>
      </c>
      <c r="B50" s="13" t="s">
        <v>1151</v>
      </c>
      <c r="C50" s="17" t="s">
        <v>1152</v>
      </c>
      <c r="D50" s="18" t="s">
        <v>70</v>
      </c>
      <c r="E50" s="19"/>
      <c r="F50" s="19">
        <v>1</v>
      </c>
      <c r="G50" s="16" t="s">
        <v>1153</v>
      </c>
      <c r="H50" s="16" t="s">
        <v>1154</v>
      </c>
      <c r="I50" s="16" t="s">
        <v>82</v>
      </c>
      <c r="J50" s="17" t="s">
        <v>1059</v>
      </c>
      <c r="K50" s="16" t="s">
        <v>1060</v>
      </c>
      <c r="L50" s="46" t="s">
        <v>647</v>
      </c>
      <c r="M50" s="46"/>
      <c r="N50" s="46"/>
      <c r="O50" s="46" t="s">
        <v>1130</v>
      </c>
      <c r="P50" s="16">
        <v>3</v>
      </c>
      <c r="Q50" s="16">
        <v>0</v>
      </c>
      <c r="R50" s="24">
        <v>15</v>
      </c>
      <c r="S50" s="24">
        <v>6</v>
      </c>
      <c r="T50" s="25">
        <v>15</v>
      </c>
      <c r="U50" s="25">
        <v>6</v>
      </c>
      <c r="V50" s="16" t="s">
        <v>257</v>
      </c>
      <c r="W50" s="16"/>
      <c r="X50" s="16">
        <v>1992</v>
      </c>
      <c r="Y50" s="13"/>
      <c r="Z50" s="13"/>
      <c r="AA50" s="17" t="s">
        <v>229</v>
      </c>
      <c r="AB50" s="27" t="s">
        <v>1155</v>
      </c>
      <c r="AC50" s="27" t="str">
        <f t="shared" si="11"/>
        <v>05</v>
      </c>
      <c r="AD50" s="28" t="str">
        <f t="shared" si="12"/>
        <v>1966</v>
      </c>
      <c r="AE50" s="44" t="s">
        <v>1156</v>
      </c>
      <c r="AF50" s="30">
        <f t="shared" si="13"/>
        <v>2026</v>
      </c>
      <c r="AG50" s="31" t="s">
        <v>1157</v>
      </c>
      <c r="AH50" s="32" t="s">
        <v>991</v>
      </c>
      <c r="AI50" s="31" t="s">
        <v>1158</v>
      </c>
      <c r="AJ50" s="31" t="s">
        <v>88</v>
      </c>
      <c r="AK50" s="33" t="s">
        <v>1159</v>
      </c>
      <c r="AL50" s="33">
        <v>1</v>
      </c>
      <c r="AM50" s="33">
        <v>7</v>
      </c>
      <c r="AN50" s="33" t="s">
        <v>320</v>
      </c>
      <c r="AO50" s="33" t="s">
        <v>320</v>
      </c>
      <c r="AP50" s="33" t="s">
        <v>321</v>
      </c>
      <c r="AQ50" s="33">
        <v>65151</v>
      </c>
      <c r="AR50" s="33" t="s">
        <v>1160</v>
      </c>
      <c r="AS50" s="33" t="s">
        <v>1161</v>
      </c>
      <c r="AT50" s="35" t="s">
        <v>1162</v>
      </c>
      <c r="AU50" s="35" t="s">
        <v>1163</v>
      </c>
      <c r="AV50" s="47" t="s">
        <v>1130</v>
      </c>
      <c r="AW50" s="31" t="s">
        <v>1164</v>
      </c>
      <c r="AX50" s="31" t="s">
        <v>1143</v>
      </c>
      <c r="AY50" s="38" t="s">
        <v>1144</v>
      </c>
      <c r="AZ50" s="31" t="s">
        <v>153</v>
      </c>
      <c r="BA50" s="48" t="s">
        <v>821</v>
      </c>
      <c r="BB50" s="48" t="s">
        <v>822</v>
      </c>
      <c r="BC50" s="46" t="s">
        <v>647</v>
      </c>
      <c r="BD50" s="33" t="s">
        <v>121</v>
      </c>
      <c r="BE50" s="40" t="str">
        <f t="shared" si="8"/>
        <v>III/b</v>
      </c>
      <c r="BF50" s="49" t="s">
        <v>1145</v>
      </c>
      <c r="BG50" s="49" t="s">
        <v>1146</v>
      </c>
      <c r="BH50" s="33" t="s">
        <v>124</v>
      </c>
      <c r="BI50" s="33" t="s">
        <v>125</v>
      </c>
      <c r="BJ50" s="33" t="s">
        <v>1165</v>
      </c>
      <c r="BK50" s="33" t="s">
        <v>1166</v>
      </c>
      <c r="BL50" s="33" t="s">
        <v>128</v>
      </c>
      <c r="BM50" s="33" t="s">
        <v>129</v>
      </c>
      <c r="BN50" s="42" t="s">
        <v>1167</v>
      </c>
      <c r="BO50" s="13" t="s">
        <v>1168</v>
      </c>
      <c r="BP50" s="43" t="s">
        <v>1169</v>
      </c>
      <c r="BQ50" s="13" t="s">
        <v>1160</v>
      </c>
      <c r="BR50" s="13"/>
      <c r="BS50" s="13"/>
      <c r="BT50" s="13"/>
      <c r="BV50" s="14">
        <f t="shared" si="9"/>
        <v>16</v>
      </c>
      <c r="BW50" s="13"/>
      <c r="BX50" s="15">
        <f t="shared" si="10"/>
        <v>16</v>
      </c>
    </row>
    <row r="51" spans="1:76" s="3" customFormat="1" ht="18.75" customHeight="1" x14ac:dyDescent="0.25">
      <c r="A51" s="16">
        <v>44</v>
      </c>
      <c r="B51" s="13" t="s">
        <v>1170</v>
      </c>
      <c r="C51" s="17" t="s">
        <v>1171</v>
      </c>
      <c r="D51" s="18" t="s">
        <v>70</v>
      </c>
      <c r="E51" s="19"/>
      <c r="F51" s="19">
        <v>1</v>
      </c>
      <c r="G51" s="16" t="s">
        <v>1172</v>
      </c>
      <c r="H51" s="16" t="s">
        <v>1173</v>
      </c>
      <c r="I51" s="16" t="s">
        <v>82</v>
      </c>
      <c r="J51" s="17" t="s">
        <v>1059</v>
      </c>
      <c r="K51" s="16" t="s">
        <v>1060</v>
      </c>
      <c r="L51" s="46" t="s">
        <v>647</v>
      </c>
      <c r="M51" s="46"/>
      <c r="N51" s="46"/>
      <c r="O51" s="46" t="s">
        <v>1130</v>
      </c>
      <c r="P51" s="16">
        <v>3</v>
      </c>
      <c r="Q51" s="16">
        <v>0</v>
      </c>
      <c r="R51" s="24">
        <v>15</v>
      </c>
      <c r="S51" s="24">
        <v>6</v>
      </c>
      <c r="T51" s="25">
        <v>15</v>
      </c>
      <c r="U51" s="25">
        <v>6</v>
      </c>
      <c r="V51" s="16" t="s">
        <v>257</v>
      </c>
      <c r="W51" s="16"/>
      <c r="X51" s="16">
        <v>1998</v>
      </c>
      <c r="Y51" s="13"/>
      <c r="Z51" s="13"/>
      <c r="AA51" s="17" t="s">
        <v>1174</v>
      </c>
      <c r="AB51" s="27" t="s">
        <v>1175</v>
      </c>
      <c r="AC51" s="27" t="str">
        <f t="shared" si="11"/>
        <v>10</v>
      </c>
      <c r="AD51" s="28" t="str">
        <f t="shared" si="12"/>
        <v>1973</v>
      </c>
      <c r="AE51" s="44" t="s">
        <v>1176</v>
      </c>
      <c r="AF51" s="30">
        <f t="shared" si="13"/>
        <v>2033</v>
      </c>
      <c r="AG51" s="31" t="s">
        <v>1177</v>
      </c>
      <c r="AH51" s="32" t="s">
        <v>1178</v>
      </c>
      <c r="AI51" s="31" t="s">
        <v>1179</v>
      </c>
      <c r="AJ51" s="31" t="s">
        <v>88</v>
      </c>
      <c r="AK51" s="33" t="s">
        <v>1180</v>
      </c>
      <c r="AL51" s="33">
        <v>4</v>
      </c>
      <c r="AM51" s="33">
        <v>1</v>
      </c>
      <c r="AN51" s="33"/>
      <c r="AO51" s="33" t="s">
        <v>235</v>
      </c>
      <c r="AP51" s="33" t="s">
        <v>110</v>
      </c>
      <c r="AQ51" s="33">
        <v>65314</v>
      </c>
      <c r="AR51" s="33" t="s">
        <v>1181</v>
      </c>
      <c r="AS51" s="33" t="s">
        <v>1182</v>
      </c>
      <c r="AT51" s="35" t="s">
        <v>1183</v>
      </c>
      <c r="AU51" s="35" t="s">
        <v>1163</v>
      </c>
      <c r="AV51" s="47" t="s">
        <v>1130</v>
      </c>
      <c r="AW51" s="31" t="s">
        <v>1184</v>
      </c>
      <c r="AX51" s="31" t="s">
        <v>1143</v>
      </c>
      <c r="AY51" s="38" t="s">
        <v>1144</v>
      </c>
      <c r="AZ51" s="31" t="s">
        <v>153</v>
      </c>
      <c r="BA51" s="48" t="s">
        <v>821</v>
      </c>
      <c r="BB51" s="48" t="s">
        <v>822</v>
      </c>
      <c r="BC51" s="46" t="s">
        <v>647</v>
      </c>
      <c r="BD51" s="33" t="s">
        <v>121</v>
      </c>
      <c r="BE51" s="40" t="str">
        <f t="shared" si="8"/>
        <v>III/b</v>
      </c>
      <c r="BF51" s="49" t="s">
        <v>1145</v>
      </c>
      <c r="BG51" s="49" t="s">
        <v>1146</v>
      </c>
      <c r="BH51" s="33" t="s">
        <v>1185</v>
      </c>
      <c r="BI51" s="33" t="s">
        <v>125</v>
      </c>
      <c r="BJ51" s="33" t="s">
        <v>1186</v>
      </c>
      <c r="BK51" s="33" t="s">
        <v>1187</v>
      </c>
      <c r="BL51" s="33" t="s">
        <v>128</v>
      </c>
      <c r="BM51" s="33" t="s">
        <v>129</v>
      </c>
      <c r="BN51" s="42" t="s">
        <v>1188</v>
      </c>
      <c r="BO51" s="13" t="s">
        <v>1189</v>
      </c>
      <c r="BP51" s="43" t="s">
        <v>1190</v>
      </c>
      <c r="BQ51" s="13" t="s">
        <v>1191</v>
      </c>
      <c r="BR51" s="13"/>
      <c r="BS51" s="13"/>
      <c r="BT51" s="13"/>
      <c r="BV51" s="14">
        <f t="shared" si="9"/>
        <v>16</v>
      </c>
      <c r="BW51" s="13"/>
      <c r="BX51" s="15">
        <f t="shared" si="10"/>
        <v>16</v>
      </c>
    </row>
    <row r="52" spans="1:76" s="3" customFormat="1" ht="18.75" customHeight="1" x14ac:dyDescent="0.25">
      <c r="A52" s="16">
        <v>45</v>
      </c>
      <c r="B52" s="13" t="s">
        <v>1192</v>
      </c>
      <c r="C52" s="17" t="s">
        <v>1193</v>
      </c>
      <c r="D52" s="18" t="s">
        <v>70</v>
      </c>
      <c r="E52" s="19"/>
      <c r="F52" s="19">
        <v>1</v>
      </c>
      <c r="G52" s="16" t="s">
        <v>1194</v>
      </c>
      <c r="H52" s="16" t="s">
        <v>1195</v>
      </c>
      <c r="I52" s="16" t="s">
        <v>82</v>
      </c>
      <c r="J52" s="17" t="s">
        <v>1059</v>
      </c>
      <c r="K52" s="16" t="s">
        <v>1060</v>
      </c>
      <c r="L52" s="46" t="s">
        <v>1196</v>
      </c>
      <c r="M52" s="46"/>
      <c r="N52" s="46"/>
      <c r="O52" s="46" t="s">
        <v>287</v>
      </c>
      <c r="P52" s="16">
        <v>0</v>
      </c>
      <c r="Q52" s="16">
        <v>0</v>
      </c>
      <c r="R52" s="24">
        <v>14</v>
      </c>
      <c r="S52" s="24">
        <v>3</v>
      </c>
      <c r="T52" s="25">
        <v>14</v>
      </c>
      <c r="U52" s="25">
        <v>3</v>
      </c>
      <c r="V52" s="16" t="s">
        <v>85</v>
      </c>
      <c r="W52" s="16"/>
      <c r="X52" s="16">
        <v>2011</v>
      </c>
      <c r="Y52" s="13"/>
      <c r="Z52" s="13"/>
      <c r="AA52" s="17" t="s">
        <v>101</v>
      </c>
      <c r="AB52" s="27" t="s">
        <v>1197</v>
      </c>
      <c r="AC52" s="27" t="str">
        <f t="shared" si="11"/>
        <v>08</v>
      </c>
      <c r="AD52" s="28" t="str">
        <f t="shared" si="12"/>
        <v>1978</v>
      </c>
      <c r="AE52" s="44" t="s">
        <v>1198</v>
      </c>
      <c r="AF52" s="30">
        <f t="shared" si="13"/>
        <v>2038</v>
      </c>
      <c r="AG52" s="31" t="s">
        <v>1199</v>
      </c>
      <c r="AH52" s="32" t="s">
        <v>1200</v>
      </c>
      <c r="AI52" s="31" t="s">
        <v>1201</v>
      </c>
      <c r="AJ52" s="31" t="s">
        <v>88</v>
      </c>
      <c r="AK52" s="33" t="s">
        <v>1202</v>
      </c>
      <c r="AL52" s="33">
        <v>3</v>
      </c>
      <c r="AM52" s="33">
        <v>1</v>
      </c>
      <c r="AN52" s="33" t="s">
        <v>1203</v>
      </c>
      <c r="AO52" s="33" t="s">
        <v>1204</v>
      </c>
      <c r="AP52" s="33" t="s">
        <v>266</v>
      </c>
      <c r="AQ52" s="33">
        <v>65152</v>
      </c>
      <c r="AR52" s="33" t="s">
        <v>1205</v>
      </c>
      <c r="AS52" s="33" t="s">
        <v>1206</v>
      </c>
      <c r="AT52" s="35" t="s">
        <v>1207</v>
      </c>
      <c r="AU52" s="35" t="s">
        <v>970</v>
      </c>
      <c r="AV52" s="47" t="s">
        <v>287</v>
      </c>
      <c r="AW52" s="31" t="s">
        <v>1208</v>
      </c>
      <c r="AX52" s="31" t="s">
        <v>972</v>
      </c>
      <c r="AY52" s="38" t="s">
        <v>456</v>
      </c>
      <c r="AZ52" s="31" t="s">
        <v>153</v>
      </c>
      <c r="BA52" s="48" t="s">
        <v>1209</v>
      </c>
      <c r="BB52" s="48" t="s">
        <v>1210</v>
      </c>
      <c r="BC52" s="46" t="s">
        <v>1196</v>
      </c>
      <c r="BD52" s="33" t="s">
        <v>121</v>
      </c>
      <c r="BE52" s="40" t="str">
        <f t="shared" si="8"/>
        <v>III/b</v>
      </c>
      <c r="BF52" s="49" t="s">
        <v>947</v>
      </c>
      <c r="BG52" s="49" t="s">
        <v>948</v>
      </c>
      <c r="BH52" s="33" t="s">
        <v>124</v>
      </c>
      <c r="BI52" s="33" t="s">
        <v>125</v>
      </c>
      <c r="BJ52" s="33" t="s">
        <v>1211</v>
      </c>
      <c r="BK52" s="33"/>
      <c r="BL52" s="33" t="s">
        <v>329</v>
      </c>
      <c r="BM52" s="33" t="s">
        <v>129</v>
      </c>
      <c r="BN52" s="42" t="s">
        <v>1212</v>
      </c>
      <c r="BO52" s="13" t="s">
        <v>1213</v>
      </c>
      <c r="BP52" s="43" t="s">
        <v>1214</v>
      </c>
      <c r="BQ52" s="13" t="s">
        <v>1205</v>
      </c>
      <c r="BR52" s="13"/>
      <c r="BS52" s="13"/>
      <c r="BT52" s="13"/>
      <c r="BV52" s="14">
        <f t="shared" si="9"/>
        <v>15</v>
      </c>
      <c r="BW52" s="13"/>
      <c r="BX52" s="15">
        <f t="shared" si="10"/>
        <v>15</v>
      </c>
    </row>
    <row r="53" spans="1:76" s="3" customFormat="1" ht="18.75" customHeight="1" x14ac:dyDescent="0.25">
      <c r="A53" s="16">
        <v>46</v>
      </c>
      <c r="B53" s="13" t="s">
        <v>1215</v>
      </c>
      <c r="C53" s="17" t="s">
        <v>1216</v>
      </c>
      <c r="D53" s="18" t="s">
        <v>69</v>
      </c>
      <c r="E53" s="19">
        <v>1</v>
      </c>
      <c r="F53" s="19"/>
      <c r="G53" s="16" t="s">
        <v>1217</v>
      </c>
      <c r="H53" s="16" t="s">
        <v>1218</v>
      </c>
      <c r="I53" s="16" t="s">
        <v>82</v>
      </c>
      <c r="J53" s="17" t="s">
        <v>1059</v>
      </c>
      <c r="K53" s="16" t="s">
        <v>1060</v>
      </c>
      <c r="L53" s="46" t="s">
        <v>1081</v>
      </c>
      <c r="M53" s="46"/>
      <c r="N53" s="46"/>
      <c r="O53" s="46" t="s">
        <v>931</v>
      </c>
      <c r="P53" s="16">
        <v>0</v>
      </c>
      <c r="Q53" s="16">
        <v>0</v>
      </c>
      <c r="R53" s="24">
        <v>13</v>
      </c>
      <c r="S53" s="24">
        <v>6</v>
      </c>
      <c r="T53" s="25">
        <v>13</v>
      </c>
      <c r="U53" s="25">
        <v>6</v>
      </c>
      <c r="V53" s="16" t="s">
        <v>85</v>
      </c>
      <c r="W53" s="16"/>
      <c r="X53" s="16">
        <v>2013</v>
      </c>
      <c r="Y53" s="13"/>
      <c r="Z53" s="13"/>
      <c r="AA53" s="17" t="s">
        <v>432</v>
      </c>
      <c r="AB53" s="30" t="s">
        <v>1219</v>
      </c>
      <c r="AC53" s="27" t="str">
        <f t="shared" si="11"/>
        <v>04</v>
      </c>
      <c r="AD53" s="28" t="str">
        <f t="shared" si="12"/>
        <v>1963</v>
      </c>
      <c r="AE53" s="44" t="s">
        <v>1220</v>
      </c>
      <c r="AF53" s="30">
        <f t="shared" si="13"/>
        <v>2023</v>
      </c>
      <c r="AG53" s="31" t="s">
        <v>1221</v>
      </c>
      <c r="AH53" s="32" t="s">
        <v>1222</v>
      </c>
      <c r="AI53" s="31" t="s">
        <v>1223</v>
      </c>
      <c r="AJ53" s="31" t="s">
        <v>88</v>
      </c>
      <c r="AK53" s="33" t="s">
        <v>1224</v>
      </c>
      <c r="AL53" s="33">
        <v>4</v>
      </c>
      <c r="AM53" s="33">
        <v>8</v>
      </c>
      <c r="AN53" s="33"/>
      <c r="AO53" s="33" t="s">
        <v>235</v>
      </c>
      <c r="AP53" s="33" t="s">
        <v>110</v>
      </c>
      <c r="AQ53" s="33">
        <v>65323</v>
      </c>
      <c r="AR53" s="33" t="s">
        <v>1225</v>
      </c>
      <c r="AS53" s="33" t="s">
        <v>1226</v>
      </c>
      <c r="AT53" s="35" t="s">
        <v>1227</v>
      </c>
      <c r="AU53" s="35" t="s">
        <v>1094</v>
      </c>
      <c r="AV53" s="47" t="s">
        <v>931</v>
      </c>
      <c r="AW53" s="31" t="s">
        <v>1095</v>
      </c>
      <c r="AX53" s="31" t="s">
        <v>943</v>
      </c>
      <c r="AY53" s="38" t="s">
        <v>944</v>
      </c>
      <c r="AZ53" s="31" t="s">
        <v>153</v>
      </c>
      <c r="BA53" s="48" t="s">
        <v>1096</v>
      </c>
      <c r="BB53" s="48" t="s">
        <v>1097</v>
      </c>
      <c r="BC53" s="46" t="s">
        <v>1081</v>
      </c>
      <c r="BD53" s="33" t="s">
        <v>121</v>
      </c>
      <c r="BE53" s="40" t="str">
        <f t="shared" si="8"/>
        <v>III/b</v>
      </c>
      <c r="BF53" s="49" t="s">
        <v>1048</v>
      </c>
      <c r="BG53" s="49" t="s">
        <v>1049</v>
      </c>
      <c r="BH53" s="33" t="s">
        <v>124</v>
      </c>
      <c r="BI53" s="33" t="s">
        <v>125</v>
      </c>
      <c r="BJ53" s="33" t="s">
        <v>1228</v>
      </c>
      <c r="BK53" s="33"/>
      <c r="BL53" s="33" t="s">
        <v>305</v>
      </c>
      <c r="BM53" s="33" t="s">
        <v>129</v>
      </c>
      <c r="BN53" s="42" t="s">
        <v>1229</v>
      </c>
      <c r="BO53" s="13" t="s">
        <v>1230</v>
      </c>
      <c r="BP53" s="43" t="s">
        <v>1231</v>
      </c>
      <c r="BQ53" s="13" t="s">
        <v>1225</v>
      </c>
      <c r="BR53" s="13"/>
      <c r="BS53" s="13"/>
      <c r="BT53" s="13"/>
      <c r="BV53" s="14">
        <f t="shared" si="9"/>
        <v>14</v>
      </c>
      <c r="BW53" s="13"/>
      <c r="BX53" s="15">
        <f t="shared" si="10"/>
        <v>14</v>
      </c>
    </row>
    <row r="54" spans="1:76" s="3" customFormat="1" ht="18.75" customHeight="1" x14ac:dyDescent="0.25">
      <c r="A54" s="16">
        <v>47</v>
      </c>
      <c r="B54" s="13" t="s">
        <v>1232</v>
      </c>
      <c r="C54" s="17" t="s">
        <v>1233</v>
      </c>
      <c r="D54" s="18" t="s">
        <v>69</v>
      </c>
      <c r="E54" s="19">
        <v>1</v>
      </c>
      <c r="F54" s="19"/>
      <c r="G54" s="16" t="s">
        <v>1234</v>
      </c>
      <c r="H54" s="16" t="s">
        <v>1235</v>
      </c>
      <c r="I54" s="16" t="s">
        <v>82</v>
      </c>
      <c r="J54" s="17" t="s">
        <v>1059</v>
      </c>
      <c r="K54" s="16" t="s">
        <v>1060</v>
      </c>
      <c r="L54" s="46" t="s">
        <v>852</v>
      </c>
      <c r="M54" s="46"/>
      <c r="N54" s="46"/>
      <c r="O54" s="46" t="s">
        <v>1041</v>
      </c>
      <c r="P54" s="16">
        <v>0</v>
      </c>
      <c r="Q54" s="16">
        <v>0</v>
      </c>
      <c r="R54" s="24">
        <v>11</v>
      </c>
      <c r="S54" s="24">
        <v>4</v>
      </c>
      <c r="T54" s="25">
        <v>11</v>
      </c>
      <c r="U54" s="25">
        <v>4</v>
      </c>
      <c r="V54" s="16" t="s">
        <v>257</v>
      </c>
      <c r="W54" s="16"/>
      <c r="X54" s="16">
        <v>2008</v>
      </c>
      <c r="Y54" s="13"/>
      <c r="Z54" s="13"/>
      <c r="AA54" s="17" t="s">
        <v>675</v>
      </c>
      <c r="AB54" s="27" t="s">
        <v>1236</v>
      </c>
      <c r="AC54" s="27" t="str">
        <f t="shared" si="11"/>
        <v>07</v>
      </c>
      <c r="AD54" s="28" t="str">
        <f t="shared" si="12"/>
        <v>1984</v>
      </c>
      <c r="AE54" s="44" t="s">
        <v>1237</v>
      </c>
      <c r="AF54" s="30">
        <f t="shared" si="13"/>
        <v>2044</v>
      </c>
      <c r="AG54" s="31"/>
      <c r="AH54" s="32"/>
      <c r="AI54" s="31"/>
      <c r="AJ54" s="31" t="s">
        <v>88</v>
      </c>
      <c r="AK54" s="33" t="s">
        <v>1238</v>
      </c>
      <c r="AL54" s="33">
        <v>3</v>
      </c>
      <c r="AM54" s="33">
        <v>1</v>
      </c>
      <c r="AN54" s="33" t="s">
        <v>1239</v>
      </c>
      <c r="AO54" s="33" t="s">
        <v>1240</v>
      </c>
      <c r="AP54" s="33" t="s">
        <v>559</v>
      </c>
      <c r="AQ54" s="33">
        <v>65315</v>
      </c>
      <c r="AR54" s="33" t="s">
        <v>1241</v>
      </c>
      <c r="AS54" s="33" t="s">
        <v>1242</v>
      </c>
      <c r="AT54" s="35" t="s">
        <v>1243</v>
      </c>
      <c r="AU54" s="35" t="s">
        <v>1040</v>
      </c>
      <c r="AV54" s="47" t="s">
        <v>1041</v>
      </c>
      <c r="AW54" s="31" t="s">
        <v>1042</v>
      </c>
      <c r="AX54" s="31" t="s">
        <v>1043</v>
      </c>
      <c r="AY54" s="38" t="s">
        <v>1044</v>
      </c>
      <c r="AZ54" s="31" t="s">
        <v>714</v>
      </c>
      <c r="BA54" s="48" t="s">
        <v>945</v>
      </c>
      <c r="BB54" s="48" t="s">
        <v>946</v>
      </c>
      <c r="BC54" s="46" t="s">
        <v>852</v>
      </c>
      <c r="BD54" s="33" t="s">
        <v>121</v>
      </c>
      <c r="BE54" s="40" t="str">
        <f t="shared" si="8"/>
        <v>III/b</v>
      </c>
      <c r="BF54" s="49" t="s">
        <v>1048</v>
      </c>
      <c r="BG54" s="49" t="s">
        <v>1049</v>
      </c>
      <c r="BH54" s="33" t="s">
        <v>1244</v>
      </c>
      <c r="BI54" s="33" t="s">
        <v>125</v>
      </c>
      <c r="BJ54" s="33" t="s">
        <v>1245</v>
      </c>
      <c r="BK54" s="33" t="s">
        <v>1246</v>
      </c>
      <c r="BL54" s="33" t="s">
        <v>128</v>
      </c>
      <c r="BM54" s="33" t="s">
        <v>129</v>
      </c>
      <c r="BN54" s="42" t="s">
        <v>1247</v>
      </c>
      <c r="BO54" s="13" t="s">
        <v>1248</v>
      </c>
      <c r="BP54" s="43" t="s">
        <v>1249</v>
      </c>
      <c r="BQ54" s="13" t="s">
        <v>1241</v>
      </c>
      <c r="BR54" s="13"/>
      <c r="BS54" s="13"/>
      <c r="BT54" s="13"/>
      <c r="BV54" s="14">
        <f t="shared" si="9"/>
        <v>12</v>
      </c>
      <c r="BW54" s="13"/>
      <c r="BX54" s="15">
        <f t="shared" si="10"/>
        <v>12</v>
      </c>
    </row>
    <row r="55" spans="1:76" s="3" customFormat="1" ht="18.75" customHeight="1" x14ac:dyDescent="0.25">
      <c r="A55" s="16">
        <v>48</v>
      </c>
      <c r="B55" s="13" t="s">
        <v>1250</v>
      </c>
      <c r="C55" s="17" t="s">
        <v>1251</v>
      </c>
      <c r="D55" s="18" t="s">
        <v>69</v>
      </c>
      <c r="E55" s="19">
        <v>1</v>
      </c>
      <c r="F55" s="19"/>
      <c r="G55" s="16" t="s">
        <v>1252</v>
      </c>
      <c r="H55" s="16" t="s">
        <v>1253</v>
      </c>
      <c r="I55" s="16" t="s">
        <v>82</v>
      </c>
      <c r="J55" s="17" t="s">
        <v>1059</v>
      </c>
      <c r="K55" s="16" t="s">
        <v>1060</v>
      </c>
      <c r="L55" s="46" t="s">
        <v>875</v>
      </c>
      <c r="M55" s="46"/>
      <c r="N55" s="46"/>
      <c r="O55" s="46" t="s">
        <v>1144</v>
      </c>
      <c r="P55" s="16">
        <v>0</v>
      </c>
      <c r="Q55" s="16">
        <v>0</v>
      </c>
      <c r="R55" s="24">
        <v>10</v>
      </c>
      <c r="S55" s="24">
        <v>6</v>
      </c>
      <c r="T55" s="25">
        <v>10</v>
      </c>
      <c r="U55" s="25">
        <v>6</v>
      </c>
      <c r="V55" s="16" t="s">
        <v>85</v>
      </c>
      <c r="W55" s="16"/>
      <c r="X55" s="16">
        <v>2019</v>
      </c>
      <c r="Y55" s="13"/>
      <c r="Z55" s="13"/>
      <c r="AA55" s="17" t="s">
        <v>229</v>
      </c>
      <c r="AB55" s="30" t="s">
        <v>1254</v>
      </c>
      <c r="AC55" s="27" t="str">
        <f t="shared" si="11"/>
        <v>02</v>
      </c>
      <c r="AD55" s="28" t="str">
        <f t="shared" si="12"/>
        <v>1981</v>
      </c>
      <c r="AE55" s="44" t="s">
        <v>1255</v>
      </c>
      <c r="AF55" s="30">
        <f t="shared" si="13"/>
        <v>2041</v>
      </c>
      <c r="AG55" s="31" t="s">
        <v>1256</v>
      </c>
      <c r="AH55" s="32" t="s">
        <v>1257</v>
      </c>
      <c r="AI55" s="31" t="s">
        <v>1258</v>
      </c>
      <c r="AJ55" s="31" t="s">
        <v>88</v>
      </c>
      <c r="AK55" s="33" t="s">
        <v>1259</v>
      </c>
      <c r="AL55" s="33">
        <v>7</v>
      </c>
      <c r="AM55" s="33">
        <v>3</v>
      </c>
      <c r="AN55" s="33"/>
      <c r="AO55" s="33" t="s">
        <v>1260</v>
      </c>
      <c r="AP55" s="33" t="s">
        <v>559</v>
      </c>
      <c r="AQ55" s="33">
        <v>65153</v>
      </c>
      <c r="AR55" s="33" t="s">
        <v>1261</v>
      </c>
      <c r="AS55" s="33" t="s">
        <v>1262</v>
      </c>
      <c r="AT55" s="60" t="s">
        <v>1263</v>
      </c>
      <c r="AU55" s="60" t="s">
        <v>1264</v>
      </c>
      <c r="AV55" s="47" t="s">
        <v>1144</v>
      </c>
      <c r="AW55" s="31" t="s">
        <v>1265</v>
      </c>
      <c r="AX55" s="31" t="s">
        <v>1266</v>
      </c>
      <c r="AY55" s="38" t="s">
        <v>1267</v>
      </c>
      <c r="AZ55" s="31" t="s">
        <v>714</v>
      </c>
      <c r="BA55" s="48" t="s">
        <v>891</v>
      </c>
      <c r="BB55" s="48" t="s">
        <v>892</v>
      </c>
      <c r="BC55" s="46" t="s">
        <v>875</v>
      </c>
      <c r="BD55" s="33" t="s">
        <v>893</v>
      </c>
      <c r="BE55" s="40" t="str">
        <f t="shared" si="8"/>
        <v>III/b</v>
      </c>
      <c r="BF55" s="49" t="s">
        <v>1268</v>
      </c>
      <c r="BG55" s="49" t="s">
        <v>1269</v>
      </c>
      <c r="BH55" s="33" t="s">
        <v>124</v>
      </c>
      <c r="BI55" s="33" t="s">
        <v>125</v>
      </c>
      <c r="BJ55" s="33" t="s">
        <v>1270</v>
      </c>
      <c r="BK55" s="33"/>
      <c r="BL55" s="33" t="s">
        <v>592</v>
      </c>
      <c r="BM55" s="33" t="s">
        <v>129</v>
      </c>
      <c r="BN55" s="42" t="s">
        <v>1271</v>
      </c>
      <c r="BO55" s="13" t="s">
        <v>1272</v>
      </c>
      <c r="BP55" s="43" t="s">
        <v>1273</v>
      </c>
      <c r="BQ55" s="13" t="s">
        <v>1261</v>
      </c>
      <c r="BR55" s="13"/>
      <c r="BS55" s="13"/>
      <c r="BT55" s="13"/>
      <c r="BV55" s="14">
        <f t="shared" si="9"/>
        <v>11</v>
      </c>
      <c r="BW55" s="13"/>
      <c r="BX55" s="15">
        <f t="shared" si="10"/>
        <v>11</v>
      </c>
    </row>
    <row r="56" spans="1:76" s="3" customFormat="1" ht="18.75" customHeight="1" x14ac:dyDescent="0.25">
      <c r="A56" s="16">
        <v>49</v>
      </c>
      <c r="B56" s="13" t="s">
        <v>1274</v>
      </c>
      <c r="C56" s="17" t="s">
        <v>1275</v>
      </c>
      <c r="D56" s="18" t="s">
        <v>70</v>
      </c>
      <c r="E56" s="19"/>
      <c r="F56" s="19">
        <v>1</v>
      </c>
      <c r="G56" s="16" t="s">
        <v>1276</v>
      </c>
      <c r="H56" s="16" t="s">
        <v>1277</v>
      </c>
      <c r="I56" s="16" t="s">
        <v>82</v>
      </c>
      <c r="J56" s="17" t="s">
        <v>1059</v>
      </c>
      <c r="K56" s="16" t="s">
        <v>1060</v>
      </c>
      <c r="L56" s="46" t="s">
        <v>1278</v>
      </c>
      <c r="M56" s="46"/>
      <c r="N56" s="46"/>
      <c r="O56" s="46" t="s">
        <v>1144</v>
      </c>
      <c r="P56" s="16">
        <v>0</v>
      </c>
      <c r="Q56" s="16">
        <v>0</v>
      </c>
      <c r="R56" s="24">
        <v>10</v>
      </c>
      <c r="S56" s="24">
        <v>6</v>
      </c>
      <c r="T56" s="25">
        <v>10</v>
      </c>
      <c r="U56" s="25">
        <v>6</v>
      </c>
      <c r="V56" s="16" t="s">
        <v>257</v>
      </c>
      <c r="W56" s="16"/>
      <c r="X56" s="16">
        <v>2000</v>
      </c>
      <c r="Y56" s="13"/>
      <c r="Z56" s="13"/>
      <c r="AA56" s="17" t="s">
        <v>339</v>
      </c>
      <c r="AB56" s="30" t="s">
        <v>1279</v>
      </c>
      <c r="AC56" s="27" t="str">
        <f t="shared" si="11"/>
        <v>03</v>
      </c>
      <c r="AD56" s="28" t="str">
        <f t="shared" si="12"/>
        <v>1975</v>
      </c>
      <c r="AE56" s="44" t="s">
        <v>1280</v>
      </c>
      <c r="AF56" s="30">
        <f t="shared" si="13"/>
        <v>2035</v>
      </c>
      <c r="AG56" s="31" t="s">
        <v>1281</v>
      </c>
      <c r="AH56" s="32" t="s">
        <v>292</v>
      </c>
      <c r="AI56" s="31" t="s">
        <v>1282</v>
      </c>
      <c r="AJ56" s="31" t="s">
        <v>88</v>
      </c>
      <c r="AK56" s="33" t="s">
        <v>1283</v>
      </c>
      <c r="AL56" s="33">
        <v>8</v>
      </c>
      <c r="AM56" s="33">
        <v>5</v>
      </c>
      <c r="AN56" s="33" t="s">
        <v>1284</v>
      </c>
      <c r="AO56" s="33" t="s">
        <v>1284</v>
      </c>
      <c r="AP56" s="33" t="s">
        <v>1285</v>
      </c>
      <c r="AQ56" s="33">
        <v>65126</v>
      </c>
      <c r="AR56" s="33" t="s">
        <v>1286</v>
      </c>
      <c r="AS56" s="33" t="s">
        <v>1287</v>
      </c>
      <c r="AT56" s="60" t="s">
        <v>1288</v>
      </c>
      <c r="AU56" s="60" t="s">
        <v>1264</v>
      </c>
      <c r="AV56" s="47" t="s">
        <v>1144</v>
      </c>
      <c r="AW56" s="31" t="s">
        <v>1265</v>
      </c>
      <c r="AX56" s="31" t="s">
        <v>1266</v>
      </c>
      <c r="AY56" s="38" t="s">
        <v>1267</v>
      </c>
      <c r="AZ56" s="31" t="s">
        <v>153</v>
      </c>
      <c r="BA56" s="48" t="s">
        <v>1289</v>
      </c>
      <c r="BB56" s="48" t="s">
        <v>1290</v>
      </c>
      <c r="BC56" s="46" t="s">
        <v>1278</v>
      </c>
      <c r="BD56" s="33" t="s">
        <v>893</v>
      </c>
      <c r="BE56" s="40" t="str">
        <f t="shared" si="8"/>
        <v>III/b</v>
      </c>
      <c r="BF56" s="61" t="s">
        <v>1291</v>
      </c>
      <c r="BG56" s="61" t="s">
        <v>1292</v>
      </c>
      <c r="BH56" s="33" t="s">
        <v>1293</v>
      </c>
      <c r="BI56" s="33" t="s">
        <v>125</v>
      </c>
      <c r="BJ56" s="33" t="s">
        <v>1294</v>
      </c>
      <c r="BK56" s="33"/>
      <c r="BL56" s="33" t="s">
        <v>329</v>
      </c>
      <c r="BM56" s="33" t="s">
        <v>129</v>
      </c>
      <c r="BN56" s="42" t="s">
        <v>1295</v>
      </c>
      <c r="BO56" s="13" t="s">
        <v>1296</v>
      </c>
      <c r="BP56" s="43" t="s">
        <v>1297</v>
      </c>
      <c r="BQ56" s="13" t="s">
        <v>1286</v>
      </c>
      <c r="BR56" s="13"/>
      <c r="BS56" s="13"/>
      <c r="BT56" s="13"/>
      <c r="BV56" s="14">
        <f t="shared" si="9"/>
        <v>11</v>
      </c>
      <c r="BW56" s="13"/>
      <c r="BX56" s="15">
        <f t="shared" si="10"/>
        <v>11</v>
      </c>
    </row>
    <row r="57" spans="1:76" s="3" customFormat="1" ht="18.75" customHeight="1" x14ac:dyDescent="0.25">
      <c r="A57" s="16">
        <v>50</v>
      </c>
      <c r="B57" s="13" t="s">
        <v>1298</v>
      </c>
      <c r="C57" s="17" t="s">
        <v>1299</v>
      </c>
      <c r="D57" s="18" t="s">
        <v>70</v>
      </c>
      <c r="E57" s="19"/>
      <c r="F57" s="19">
        <v>1</v>
      </c>
      <c r="G57" s="16" t="s">
        <v>1300</v>
      </c>
      <c r="H57" s="16" t="s">
        <v>1301</v>
      </c>
      <c r="I57" s="16" t="s">
        <v>82</v>
      </c>
      <c r="J57" s="17" t="s">
        <v>1059</v>
      </c>
      <c r="K57" s="16" t="s">
        <v>1060</v>
      </c>
      <c r="L57" s="46" t="s">
        <v>1278</v>
      </c>
      <c r="M57" s="46"/>
      <c r="N57" s="46"/>
      <c r="O57" s="46" t="s">
        <v>1144</v>
      </c>
      <c r="P57" s="16">
        <v>0</v>
      </c>
      <c r="Q57" s="16">
        <v>0</v>
      </c>
      <c r="R57" s="24">
        <v>10</v>
      </c>
      <c r="S57" s="24">
        <v>6</v>
      </c>
      <c r="T57" s="25">
        <v>10</v>
      </c>
      <c r="U57" s="25">
        <v>6</v>
      </c>
      <c r="V57" s="16" t="s">
        <v>257</v>
      </c>
      <c r="W57" s="16"/>
      <c r="X57" s="16">
        <v>2009</v>
      </c>
      <c r="Y57" s="13"/>
      <c r="Z57" s="13"/>
      <c r="AA57" s="17" t="s">
        <v>314</v>
      </c>
      <c r="AB57" s="30" t="s">
        <v>1302</v>
      </c>
      <c r="AC57" s="27" t="str">
        <f t="shared" si="11"/>
        <v>11</v>
      </c>
      <c r="AD57" s="28" t="str">
        <f t="shared" si="12"/>
        <v>1986</v>
      </c>
      <c r="AE57" s="44" t="s">
        <v>1303</v>
      </c>
      <c r="AF57" s="30">
        <f t="shared" si="13"/>
        <v>2046</v>
      </c>
      <c r="AG57" s="31" t="s">
        <v>1304</v>
      </c>
      <c r="AH57" s="32" t="s">
        <v>1257</v>
      </c>
      <c r="AI57" s="31" t="s">
        <v>1305</v>
      </c>
      <c r="AJ57" s="31" t="s">
        <v>88</v>
      </c>
      <c r="AK57" s="33" t="s">
        <v>1306</v>
      </c>
      <c r="AL57" s="33">
        <v>3</v>
      </c>
      <c r="AM57" s="33">
        <v>7</v>
      </c>
      <c r="AN57" s="33" t="s">
        <v>1307</v>
      </c>
      <c r="AO57" s="33" t="s">
        <v>1307</v>
      </c>
      <c r="AP57" s="33" t="s">
        <v>1308</v>
      </c>
      <c r="AQ57" s="33">
        <v>65124</v>
      </c>
      <c r="AR57" s="33" t="s">
        <v>1309</v>
      </c>
      <c r="AS57" s="33" t="s">
        <v>1310</v>
      </c>
      <c r="AT57" s="60" t="s">
        <v>1311</v>
      </c>
      <c r="AU57" s="60" t="s">
        <v>1264</v>
      </c>
      <c r="AV57" s="47" t="s">
        <v>1144</v>
      </c>
      <c r="AW57" s="31" t="s">
        <v>1265</v>
      </c>
      <c r="AX57" s="31" t="s">
        <v>1266</v>
      </c>
      <c r="AY57" s="38" t="s">
        <v>1267</v>
      </c>
      <c r="AZ57" s="31" t="s">
        <v>714</v>
      </c>
      <c r="BA57" s="48" t="s">
        <v>1289</v>
      </c>
      <c r="BB57" s="48" t="s">
        <v>1290</v>
      </c>
      <c r="BC57" s="46" t="s">
        <v>1278</v>
      </c>
      <c r="BD57" s="33" t="s">
        <v>893</v>
      </c>
      <c r="BE57" s="40" t="str">
        <f t="shared" si="8"/>
        <v>III/b</v>
      </c>
      <c r="BF57" s="49" t="s">
        <v>1312</v>
      </c>
      <c r="BG57" s="49" t="s">
        <v>1313</v>
      </c>
      <c r="BH57" s="33" t="s">
        <v>124</v>
      </c>
      <c r="BI57" s="33" t="s">
        <v>421</v>
      </c>
      <c r="BJ57" s="33"/>
      <c r="BK57" s="33"/>
      <c r="BL57" s="33" t="s">
        <v>305</v>
      </c>
      <c r="BM57" s="33" t="s">
        <v>129</v>
      </c>
      <c r="BN57" s="42" t="s">
        <v>1314</v>
      </c>
      <c r="BO57" s="13" t="s">
        <v>1315</v>
      </c>
      <c r="BP57" s="43" t="s">
        <v>1316</v>
      </c>
      <c r="BQ57" s="13" t="s">
        <v>1317</v>
      </c>
      <c r="BR57" s="13"/>
      <c r="BS57" s="13"/>
      <c r="BT57" s="13"/>
      <c r="BV57" s="14">
        <f t="shared" si="9"/>
        <v>11</v>
      </c>
      <c r="BW57" s="13"/>
      <c r="BX57" s="15">
        <f t="shared" si="10"/>
        <v>11</v>
      </c>
    </row>
    <row r="58" spans="1:76" s="3" customFormat="1" ht="18.75" customHeight="1" x14ac:dyDescent="0.25">
      <c r="A58" s="16">
        <v>51</v>
      </c>
      <c r="B58" s="13" t="s">
        <v>1318</v>
      </c>
      <c r="C58" s="17" t="s">
        <v>1319</v>
      </c>
      <c r="D58" s="18" t="s">
        <v>70</v>
      </c>
      <c r="E58" s="19"/>
      <c r="F58" s="19">
        <v>1</v>
      </c>
      <c r="G58" s="16" t="s">
        <v>1320</v>
      </c>
      <c r="H58" s="16" t="s">
        <v>1321</v>
      </c>
      <c r="I58" s="16" t="s">
        <v>82</v>
      </c>
      <c r="J58" s="17" t="s">
        <v>1059</v>
      </c>
      <c r="K58" s="16" t="s">
        <v>1060</v>
      </c>
      <c r="L58" s="46" t="s">
        <v>1081</v>
      </c>
      <c r="M58" s="46"/>
      <c r="N58" s="46"/>
      <c r="O58" s="46" t="s">
        <v>931</v>
      </c>
      <c r="P58" s="16">
        <v>2</v>
      </c>
      <c r="Q58" s="16">
        <v>0</v>
      </c>
      <c r="R58" s="24">
        <v>15</v>
      </c>
      <c r="S58" s="24">
        <v>6</v>
      </c>
      <c r="T58" s="25">
        <v>15</v>
      </c>
      <c r="U58" s="25">
        <v>6</v>
      </c>
      <c r="V58" s="16" t="s">
        <v>257</v>
      </c>
      <c r="W58" s="16" t="s">
        <v>1322</v>
      </c>
      <c r="X58" s="16">
        <v>1988</v>
      </c>
      <c r="Y58" s="13"/>
      <c r="Z58" s="13"/>
      <c r="AA58" s="17" t="s">
        <v>168</v>
      </c>
      <c r="AB58" s="30" t="s">
        <v>1323</v>
      </c>
      <c r="AC58" s="27" t="str">
        <f t="shared" si="11"/>
        <v>10</v>
      </c>
      <c r="AD58" s="28" t="str">
        <f t="shared" si="12"/>
        <v>1963</v>
      </c>
      <c r="AE58" s="44" t="s">
        <v>1108</v>
      </c>
      <c r="AF58" s="30">
        <f t="shared" si="13"/>
        <v>2023</v>
      </c>
      <c r="AG58" s="31" t="s">
        <v>1324</v>
      </c>
      <c r="AH58" s="32" t="s">
        <v>991</v>
      </c>
      <c r="AI58" s="31" t="s">
        <v>1325</v>
      </c>
      <c r="AJ58" s="31" t="s">
        <v>88</v>
      </c>
      <c r="AK58" s="33" t="s">
        <v>1326</v>
      </c>
      <c r="AL58" s="33">
        <v>3</v>
      </c>
      <c r="AM58" s="33">
        <v>10</v>
      </c>
      <c r="AN58" s="33" t="s">
        <v>439</v>
      </c>
      <c r="AO58" s="33" t="s">
        <v>439</v>
      </c>
      <c r="AP58" s="33" t="s">
        <v>110</v>
      </c>
      <c r="AQ58" s="33">
        <v>65317</v>
      </c>
      <c r="AR58" s="33" t="s">
        <v>1327</v>
      </c>
      <c r="AS58" s="33"/>
      <c r="AT58" s="60" t="s">
        <v>1328</v>
      </c>
      <c r="AU58" s="60" t="s">
        <v>1094</v>
      </c>
      <c r="AV58" s="47" t="s">
        <v>931</v>
      </c>
      <c r="AW58" s="60" t="s">
        <v>942</v>
      </c>
      <c r="AX58" s="37" t="s">
        <v>943</v>
      </c>
      <c r="AY58" s="38" t="s">
        <v>944</v>
      </c>
      <c r="AZ58" s="31" t="s">
        <v>121</v>
      </c>
      <c r="BA58" s="48" t="s">
        <v>1096</v>
      </c>
      <c r="BB58" s="48" t="s">
        <v>1097</v>
      </c>
      <c r="BC58" s="46" t="s">
        <v>1081</v>
      </c>
      <c r="BD58" s="33" t="s">
        <v>121</v>
      </c>
      <c r="BE58" s="40" t="str">
        <f t="shared" si="8"/>
        <v>III/b</v>
      </c>
      <c r="BF58" s="49" t="s">
        <v>947</v>
      </c>
      <c r="BG58" s="49" t="s">
        <v>948</v>
      </c>
      <c r="BH58" s="33" t="s">
        <v>1329</v>
      </c>
      <c r="BI58" s="33" t="s">
        <v>303</v>
      </c>
      <c r="BJ58" s="33" t="s">
        <v>124</v>
      </c>
      <c r="BK58" s="33" t="s">
        <v>124</v>
      </c>
      <c r="BL58" s="33" t="s">
        <v>124</v>
      </c>
      <c r="BM58" s="33"/>
      <c r="BN58" s="42" t="s">
        <v>1330</v>
      </c>
      <c r="BO58" s="13" t="s">
        <v>1331</v>
      </c>
      <c r="BP58" s="13" t="s">
        <v>1332</v>
      </c>
      <c r="BQ58" s="33" t="s">
        <v>1327</v>
      </c>
      <c r="BR58" s="33"/>
      <c r="BS58" s="33"/>
      <c r="BT58" s="13"/>
      <c r="BV58" s="14">
        <f t="shared" si="9"/>
        <v>16</v>
      </c>
      <c r="BW58" s="13"/>
      <c r="BX58" s="15">
        <f t="shared" si="10"/>
        <v>16</v>
      </c>
    </row>
    <row r="59" spans="1:76" s="3" customFormat="1" ht="18.75" customHeight="1" x14ac:dyDescent="0.25">
      <c r="A59" s="16">
        <v>52</v>
      </c>
      <c r="B59" s="13" t="s">
        <v>1333</v>
      </c>
      <c r="C59" s="17" t="s">
        <v>1334</v>
      </c>
      <c r="D59" s="18" t="s">
        <v>69</v>
      </c>
      <c r="E59" s="19">
        <v>1</v>
      </c>
      <c r="F59" s="19"/>
      <c r="G59" s="16" t="s">
        <v>1335</v>
      </c>
      <c r="H59" s="16" t="s">
        <v>1336</v>
      </c>
      <c r="I59" s="16" t="s">
        <v>82</v>
      </c>
      <c r="J59" s="17" t="s">
        <v>1337</v>
      </c>
      <c r="K59" s="16" t="s">
        <v>1060</v>
      </c>
      <c r="L59" s="46" t="s">
        <v>1047</v>
      </c>
      <c r="M59" s="46"/>
      <c r="N59" s="46"/>
      <c r="O59" s="46" t="s">
        <v>1338</v>
      </c>
      <c r="P59" s="16">
        <v>0</v>
      </c>
      <c r="Q59" s="16">
        <v>0</v>
      </c>
      <c r="R59" s="24">
        <v>9</v>
      </c>
      <c r="S59" s="24">
        <v>3</v>
      </c>
      <c r="T59" s="25">
        <v>9</v>
      </c>
      <c r="U59" s="25">
        <v>6</v>
      </c>
      <c r="V59" s="16" t="s">
        <v>257</v>
      </c>
      <c r="W59" s="16"/>
      <c r="X59" s="16">
        <v>2006</v>
      </c>
      <c r="Y59" s="13"/>
      <c r="Z59" s="13"/>
      <c r="AA59" s="17" t="s">
        <v>364</v>
      </c>
      <c r="AB59" s="30" t="s">
        <v>1339</v>
      </c>
      <c r="AC59" s="27" t="str">
        <f t="shared" si="11"/>
        <v>12</v>
      </c>
      <c r="AD59" s="28" t="str">
        <f t="shared" si="12"/>
        <v>1983</v>
      </c>
      <c r="AE59" s="44" t="s">
        <v>1340</v>
      </c>
      <c r="AF59" s="30">
        <f>AD59+60+1</f>
        <v>2044</v>
      </c>
      <c r="AG59" s="31" t="s">
        <v>1341</v>
      </c>
      <c r="AH59" s="32" t="s">
        <v>964</v>
      </c>
      <c r="AI59" s="31" t="s">
        <v>1342</v>
      </c>
      <c r="AJ59" s="31" t="s">
        <v>88</v>
      </c>
      <c r="AK59" s="33" t="s">
        <v>1343</v>
      </c>
      <c r="AL59" s="33">
        <v>15</v>
      </c>
      <c r="AM59" s="33">
        <v>3</v>
      </c>
      <c r="AN59" s="33" t="s">
        <v>1344</v>
      </c>
      <c r="AO59" s="33" t="s">
        <v>1344</v>
      </c>
      <c r="AP59" s="33" t="s">
        <v>559</v>
      </c>
      <c r="AQ59" s="33">
        <v>65153</v>
      </c>
      <c r="AR59" s="33" t="s">
        <v>1345</v>
      </c>
      <c r="AS59" s="33" t="s">
        <v>1346</v>
      </c>
      <c r="AT59" s="31" t="s">
        <v>1347</v>
      </c>
      <c r="AU59" s="38" t="s">
        <v>1348</v>
      </c>
      <c r="AV59" s="47" t="s">
        <v>1338</v>
      </c>
      <c r="AW59" s="31" t="s">
        <v>1349</v>
      </c>
      <c r="AX59" s="31" t="s">
        <v>1350</v>
      </c>
      <c r="AY59" s="38" t="s">
        <v>1351</v>
      </c>
      <c r="AZ59" s="31" t="s">
        <v>714</v>
      </c>
      <c r="BA59" s="33" t="s">
        <v>1045</v>
      </c>
      <c r="BB59" s="33" t="s">
        <v>1046</v>
      </c>
      <c r="BC59" s="46" t="s">
        <v>1352</v>
      </c>
      <c r="BD59" s="33" t="s">
        <v>893</v>
      </c>
      <c r="BE59" s="40" t="str">
        <f t="shared" si="8"/>
        <v>III/b</v>
      </c>
      <c r="BF59" s="62" t="s">
        <v>1353</v>
      </c>
      <c r="BG59" s="63" t="s">
        <v>1354</v>
      </c>
      <c r="BH59" s="33" t="s">
        <v>124</v>
      </c>
      <c r="BI59" s="33" t="s">
        <v>125</v>
      </c>
      <c r="BJ59" s="33" t="s">
        <v>1355</v>
      </c>
      <c r="BK59" s="33"/>
      <c r="BL59" s="33" t="s">
        <v>128</v>
      </c>
      <c r="BM59" s="33" t="s">
        <v>129</v>
      </c>
      <c r="BN59" s="42" t="s">
        <v>1356</v>
      </c>
      <c r="BO59" s="13" t="s">
        <v>1357</v>
      </c>
      <c r="BP59" s="43" t="s">
        <v>1358</v>
      </c>
      <c r="BQ59" s="13" t="s">
        <v>1345</v>
      </c>
      <c r="BR59" s="13"/>
      <c r="BS59" s="13"/>
      <c r="BT59" s="13"/>
      <c r="BV59" s="14">
        <f t="shared" si="9"/>
        <v>10</v>
      </c>
      <c r="BW59" s="13"/>
      <c r="BX59" s="15">
        <f t="shared" si="10"/>
        <v>10</v>
      </c>
    </row>
    <row r="60" spans="1:76" s="3" customFormat="1" ht="18.75" customHeight="1" x14ac:dyDescent="0.3">
      <c r="A60" s="16">
        <v>53</v>
      </c>
      <c r="B60" s="13" t="s">
        <v>1359</v>
      </c>
      <c r="C60" s="17" t="s">
        <v>1360</v>
      </c>
      <c r="D60" s="16" t="s">
        <v>69</v>
      </c>
      <c r="E60" s="19">
        <v>1</v>
      </c>
      <c r="F60" s="19"/>
      <c r="G60" s="16" t="s">
        <v>1361</v>
      </c>
      <c r="H60" s="16" t="s">
        <v>1362</v>
      </c>
      <c r="I60" s="16" t="s">
        <v>82</v>
      </c>
      <c r="J60" s="17" t="s">
        <v>1059</v>
      </c>
      <c r="K60" s="16" t="s">
        <v>1060</v>
      </c>
      <c r="L60" s="16" t="s">
        <v>852</v>
      </c>
      <c r="M60" s="16">
        <v>16</v>
      </c>
      <c r="N60" s="16">
        <v>8</v>
      </c>
      <c r="O60" s="51" t="s">
        <v>1144</v>
      </c>
      <c r="P60" s="16">
        <v>9</v>
      </c>
      <c r="Q60" s="16">
        <v>10</v>
      </c>
      <c r="R60" s="16">
        <v>16</v>
      </c>
      <c r="S60" s="16">
        <v>8</v>
      </c>
      <c r="T60" s="16">
        <v>16</v>
      </c>
      <c r="U60" s="52">
        <v>11</v>
      </c>
      <c r="V60" s="16" t="s">
        <v>257</v>
      </c>
      <c r="W60" s="17" t="s">
        <v>1363</v>
      </c>
      <c r="X60" s="16">
        <v>1998</v>
      </c>
      <c r="Y60" s="13"/>
      <c r="Z60" s="13"/>
      <c r="AA60" s="17" t="s">
        <v>675</v>
      </c>
      <c r="AB60" s="30" t="s">
        <v>1364</v>
      </c>
      <c r="AC60" s="55"/>
      <c r="AD60" s="30"/>
      <c r="AE60" s="44" t="s">
        <v>1365</v>
      </c>
      <c r="AF60" s="44">
        <v>2034</v>
      </c>
      <c r="AG60" s="30" t="s">
        <v>1366</v>
      </c>
      <c r="AH60" s="29" t="s">
        <v>1367</v>
      </c>
      <c r="AI60" s="30"/>
      <c r="AJ60" s="31" t="s">
        <v>1368</v>
      </c>
      <c r="AK60" s="33" t="s">
        <v>1369</v>
      </c>
      <c r="AL60" s="33">
        <v>7</v>
      </c>
      <c r="AM60" s="33">
        <v>10</v>
      </c>
      <c r="AN60" s="33" t="s">
        <v>145</v>
      </c>
      <c r="AO60" s="33" t="s">
        <v>1370</v>
      </c>
      <c r="AP60" s="33" t="s">
        <v>110</v>
      </c>
      <c r="AQ60" s="33">
        <v>65311</v>
      </c>
      <c r="AR60" s="13" t="s">
        <v>1371</v>
      </c>
      <c r="AS60" s="33"/>
      <c r="AT60" s="57" t="s">
        <v>1372</v>
      </c>
      <c r="AU60" s="57" t="s">
        <v>1264</v>
      </c>
      <c r="AV60" s="58" t="s">
        <v>1144</v>
      </c>
      <c r="AW60" s="31" t="s">
        <v>1265</v>
      </c>
      <c r="AX60" s="31" t="s">
        <v>1373</v>
      </c>
      <c r="AY60" s="31" t="s">
        <v>1267</v>
      </c>
      <c r="AZ60" s="31" t="s">
        <v>121</v>
      </c>
      <c r="BA60" s="33" t="s">
        <v>945</v>
      </c>
      <c r="BB60" s="64" t="s">
        <v>946</v>
      </c>
      <c r="BC60" s="33" t="s">
        <v>852</v>
      </c>
      <c r="BD60" s="33" t="s">
        <v>121</v>
      </c>
      <c r="BE60" s="33" t="str">
        <f t="shared" si="8"/>
        <v>III/b</v>
      </c>
      <c r="BF60" s="62" t="s">
        <v>1312</v>
      </c>
      <c r="BG60" s="62" t="s">
        <v>1313</v>
      </c>
      <c r="BH60" s="33" t="s">
        <v>1374</v>
      </c>
      <c r="BI60" s="33" t="s">
        <v>125</v>
      </c>
      <c r="BJ60" s="33" t="s">
        <v>1375</v>
      </c>
      <c r="BK60" s="33"/>
      <c r="BL60" s="33" t="s">
        <v>1376</v>
      </c>
      <c r="BM60" s="33"/>
      <c r="BN60" s="42" t="s">
        <v>1377</v>
      </c>
      <c r="BO60" s="13"/>
      <c r="BP60" s="13" t="s">
        <v>1378</v>
      </c>
      <c r="BQ60" s="13" t="s">
        <v>1371</v>
      </c>
      <c r="BR60" s="33"/>
      <c r="BS60" s="33"/>
      <c r="BT60" s="33"/>
      <c r="BU60"/>
      <c r="BV60" s="33">
        <f t="shared" si="9"/>
        <v>17</v>
      </c>
      <c r="BW60" s="33"/>
      <c r="BX60" s="13"/>
    </row>
    <row r="61" spans="1:76" s="3" customFormat="1" ht="18.75" customHeight="1" x14ac:dyDescent="0.25">
      <c r="A61" s="16">
        <v>54</v>
      </c>
      <c r="B61" s="13" t="s">
        <v>1379</v>
      </c>
      <c r="C61" s="17" t="s">
        <v>1380</v>
      </c>
      <c r="D61" s="18" t="s">
        <v>69</v>
      </c>
      <c r="E61" s="19">
        <v>1</v>
      </c>
      <c r="F61" s="19"/>
      <c r="G61" s="16" t="s">
        <v>1381</v>
      </c>
      <c r="H61" s="16" t="s">
        <v>1382</v>
      </c>
      <c r="I61" s="16" t="s">
        <v>82</v>
      </c>
      <c r="J61" s="17" t="s">
        <v>1337</v>
      </c>
      <c r="K61" s="16" t="s">
        <v>1383</v>
      </c>
      <c r="L61" s="46" t="s">
        <v>1044</v>
      </c>
      <c r="M61" s="46"/>
      <c r="N61" s="46"/>
      <c r="O61" s="46" t="s">
        <v>1041</v>
      </c>
      <c r="P61" s="16">
        <v>6</v>
      </c>
      <c r="Q61" s="16">
        <v>1</v>
      </c>
      <c r="R61" s="24">
        <v>17</v>
      </c>
      <c r="S61" s="24">
        <v>5</v>
      </c>
      <c r="T61" s="25">
        <v>17</v>
      </c>
      <c r="U61" s="25">
        <v>5</v>
      </c>
      <c r="V61" s="16" t="s">
        <v>257</v>
      </c>
      <c r="W61" s="16"/>
      <c r="X61" s="16">
        <v>2003</v>
      </c>
      <c r="Y61" s="13"/>
      <c r="Z61" s="13"/>
      <c r="AA61" s="17" t="s">
        <v>1384</v>
      </c>
      <c r="AB61" s="30" t="s">
        <v>1385</v>
      </c>
      <c r="AC61" s="27" t="str">
        <f t="shared" ref="AC61:AC66" si="14">MID(G61,5,2)</f>
        <v>02</v>
      </c>
      <c r="AD61" s="28" t="str">
        <f t="shared" ref="AD61:AD66" si="15">MID(G61,1,4)</f>
        <v>1970</v>
      </c>
      <c r="AE61" s="44" t="s">
        <v>1386</v>
      </c>
      <c r="AF61" s="30">
        <f>AD61+60</f>
        <v>2030</v>
      </c>
      <c r="AG61" s="31" t="s">
        <v>1387</v>
      </c>
      <c r="AH61" s="32" t="s">
        <v>1388</v>
      </c>
      <c r="AI61" s="31" t="s">
        <v>1389</v>
      </c>
      <c r="AJ61" s="31" t="s">
        <v>1390</v>
      </c>
      <c r="AK61" s="33" t="s">
        <v>1391</v>
      </c>
      <c r="AL61" s="33">
        <v>5</v>
      </c>
      <c r="AM61" s="33">
        <v>12</v>
      </c>
      <c r="AN61" s="33"/>
      <c r="AO61" s="33" t="s">
        <v>1392</v>
      </c>
      <c r="AP61" s="33" t="s">
        <v>1393</v>
      </c>
      <c r="AQ61" s="33">
        <v>65148</v>
      </c>
      <c r="AR61" s="33" t="s">
        <v>1394</v>
      </c>
      <c r="AS61" s="33" t="s">
        <v>1395</v>
      </c>
      <c r="AT61" s="60" t="s">
        <v>1396</v>
      </c>
      <c r="AU61" s="60" t="s">
        <v>1040</v>
      </c>
      <c r="AV61" s="47" t="s">
        <v>1041</v>
      </c>
      <c r="AW61" s="31" t="s">
        <v>1042</v>
      </c>
      <c r="AX61" s="31" t="s">
        <v>1043</v>
      </c>
      <c r="AY61" s="38" t="s">
        <v>1041</v>
      </c>
      <c r="AZ61" s="31" t="s">
        <v>714</v>
      </c>
      <c r="BA61" s="48" t="s">
        <v>1042</v>
      </c>
      <c r="BB61" s="48" t="s">
        <v>1043</v>
      </c>
      <c r="BC61" s="46" t="s">
        <v>1044</v>
      </c>
      <c r="BD61" s="33" t="s">
        <v>121</v>
      </c>
      <c r="BE61" s="40" t="str">
        <f t="shared" si="8"/>
        <v>III/a</v>
      </c>
      <c r="BF61" s="49" t="s">
        <v>1048</v>
      </c>
      <c r="BG61" s="49" t="s">
        <v>1049</v>
      </c>
      <c r="BH61" s="33" t="s">
        <v>1397</v>
      </c>
      <c r="BI61" s="33" t="s">
        <v>125</v>
      </c>
      <c r="BJ61" s="33" t="s">
        <v>1398</v>
      </c>
      <c r="BK61" s="33" t="s">
        <v>1399</v>
      </c>
      <c r="BL61" s="33" t="s">
        <v>128</v>
      </c>
      <c r="BM61" s="33" t="s">
        <v>1400</v>
      </c>
      <c r="BN61" s="42" t="s">
        <v>1401</v>
      </c>
      <c r="BO61" s="13" t="s">
        <v>1402</v>
      </c>
      <c r="BP61" s="43" t="s">
        <v>1403</v>
      </c>
      <c r="BQ61" s="13" t="s">
        <v>1394</v>
      </c>
      <c r="BR61" s="13"/>
      <c r="BS61" s="13"/>
      <c r="BT61" s="13"/>
      <c r="BV61" s="14">
        <f t="shared" si="9"/>
        <v>18</v>
      </c>
      <c r="BW61" s="13"/>
      <c r="BX61" s="15">
        <f t="shared" ref="BX61:BX82" si="16">T61+1</f>
        <v>18</v>
      </c>
    </row>
    <row r="62" spans="1:76" s="3" customFormat="1" ht="18.75" customHeight="1" x14ac:dyDescent="0.25">
      <c r="A62" s="16">
        <v>55</v>
      </c>
      <c r="B62" s="13" t="s">
        <v>1404</v>
      </c>
      <c r="C62" s="17" t="s">
        <v>1405</v>
      </c>
      <c r="D62" s="18" t="s">
        <v>70</v>
      </c>
      <c r="E62" s="19"/>
      <c r="F62" s="19">
        <v>1</v>
      </c>
      <c r="G62" s="16" t="s">
        <v>1406</v>
      </c>
      <c r="H62" s="16" t="s">
        <v>1407</v>
      </c>
      <c r="I62" s="16" t="s">
        <v>82</v>
      </c>
      <c r="J62" s="17" t="s">
        <v>1337</v>
      </c>
      <c r="K62" s="16" t="s">
        <v>1383</v>
      </c>
      <c r="L62" s="46" t="s">
        <v>1408</v>
      </c>
      <c r="M62" s="46"/>
      <c r="N62" s="46"/>
      <c r="O62" s="46" t="s">
        <v>1409</v>
      </c>
      <c r="P62" s="16">
        <v>10</v>
      </c>
      <c r="Q62" s="16">
        <v>3</v>
      </c>
      <c r="R62" s="24">
        <v>15</v>
      </c>
      <c r="S62" s="24">
        <v>10</v>
      </c>
      <c r="T62" s="25">
        <v>15</v>
      </c>
      <c r="U62" s="25">
        <v>10</v>
      </c>
      <c r="V62" s="16" t="s">
        <v>85</v>
      </c>
      <c r="W62" s="16"/>
      <c r="X62" s="16">
        <v>2020</v>
      </c>
      <c r="Y62" s="13"/>
      <c r="Z62" s="13"/>
      <c r="AA62" s="17" t="s">
        <v>1410</v>
      </c>
      <c r="AB62" s="27" t="s">
        <v>1411</v>
      </c>
      <c r="AC62" s="27" t="str">
        <f t="shared" si="14"/>
        <v>11</v>
      </c>
      <c r="AD62" s="28" t="str">
        <f t="shared" si="15"/>
        <v>1974</v>
      </c>
      <c r="AE62" s="44" t="s">
        <v>1412</v>
      </c>
      <c r="AF62" s="30">
        <f>AD62+60</f>
        <v>2034</v>
      </c>
      <c r="AG62" s="31" t="s">
        <v>1413</v>
      </c>
      <c r="AH62" s="32" t="s">
        <v>1414</v>
      </c>
      <c r="AI62" s="31" t="s">
        <v>1415</v>
      </c>
      <c r="AJ62" s="31" t="s">
        <v>88</v>
      </c>
      <c r="AK62" s="33" t="s">
        <v>1416</v>
      </c>
      <c r="AL62" s="33">
        <v>2</v>
      </c>
      <c r="AM62" s="33">
        <v>6</v>
      </c>
      <c r="AN62" s="33" t="s">
        <v>1417</v>
      </c>
      <c r="AO62" s="33" t="s">
        <v>1417</v>
      </c>
      <c r="AP62" s="33" t="s">
        <v>296</v>
      </c>
      <c r="AQ62" s="33">
        <v>65141</v>
      </c>
      <c r="AR62" s="33" t="s">
        <v>1418</v>
      </c>
      <c r="AS62" s="33" t="s">
        <v>1419</v>
      </c>
      <c r="AT62" s="65" t="s">
        <v>1420</v>
      </c>
      <c r="AU62" s="65" t="s">
        <v>1421</v>
      </c>
      <c r="AV62" s="47" t="s">
        <v>1409</v>
      </c>
      <c r="AW62" s="31" t="s">
        <v>1422</v>
      </c>
      <c r="AX62" s="31" t="s">
        <v>1423</v>
      </c>
      <c r="AY62" s="38" t="s">
        <v>1408</v>
      </c>
      <c r="AZ62" s="31" t="s">
        <v>714</v>
      </c>
      <c r="BA62" s="66" t="s">
        <v>1422</v>
      </c>
      <c r="BB62" s="66" t="s">
        <v>1424</v>
      </c>
      <c r="BC62" s="46" t="s">
        <v>1408</v>
      </c>
      <c r="BD62" s="33" t="s">
        <v>121</v>
      </c>
      <c r="BE62" s="40" t="str">
        <f t="shared" si="8"/>
        <v>III/a</v>
      </c>
      <c r="BF62" s="61" t="s">
        <v>1425</v>
      </c>
      <c r="BG62" s="61" t="s">
        <v>1426</v>
      </c>
      <c r="BH62" s="33" t="s">
        <v>1427</v>
      </c>
      <c r="BI62" s="33" t="s">
        <v>125</v>
      </c>
      <c r="BJ62" s="33" t="s">
        <v>1428</v>
      </c>
      <c r="BK62" s="33"/>
      <c r="BL62" s="33" t="s">
        <v>1121</v>
      </c>
      <c r="BM62" s="33" t="s">
        <v>129</v>
      </c>
      <c r="BN62" s="42" t="s">
        <v>1429</v>
      </c>
      <c r="BO62" s="13" t="s">
        <v>1430</v>
      </c>
      <c r="BP62" s="43" t="s">
        <v>1431</v>
      </c>
      <c r="BQ62" s="13" t="s">
        <v>1432</v>
      </c>
      <c r="BR62" s="13"/>
      <c r="BS62" s="13"/>
      <c r="BT62" s="13"/>
      <c r="BV62" s="14">
        <f t="shared" si="9"/>
        <v>16</v>
      </c>
      <c r="BW62" s="13"/>
      <c r="BX62" s="15">
        <f t="shared" si="16"/>
        <v>16</v>
      </c>
    </row>
    <row r="63" spans="1:76" s="3" customFormat="1" ht="18.75" customHeight="1" x14ac:dyDescent="0.25">
      <c r="A63" s="16">
        <v>56</v>
      </c>
      <c r="B63" s="13" t="s">
        <v>1433</v>
      </c>
      <c r="C63" s="17" t="s">
        <v>1434</v>
      </c>
      <c r="D63" s="18" t="s">
        <v>69</v>
      </c>
      <c r="E63" s="19">
        <v>1</v>
      </c>
      <c r="F63" s="19"/>
      <c r="G63" s="16" t="s">
        <v>1435</v>
      </c>
      <c r="H63" s="16" t="s">
        <v>1436</v>
      </c>
      <c r="I63" s="16" t="s">
        <v>82</v>
      </c>
      <c r="J63" s="17" t="s">
        <v>1337</v>
      </c>
      <c r="K63" s="16" t="s">
        <v>1383</v>
      </c>
      <c r="L63" s="46" t="s">
        <v>1044</v>
      </c>
      <c r="M63" s="46"/>
      <c r="N63" s="46"/>
      <c r="O63" s="46" t="s">
        <v>1041</v>
      </c>
      <c r="P63" s="16">
        <v>0</v>
      </c>
      <c r="Q63" s="16">
        <v>0</v>
      </c>
      <c r="R63" s="24">
        <v>11</v>
      </c>
      <c r="S63" s="24">
        <v>4</v>
      </c>
      <c r="T63" s="25">
        <v>11</v>
      </c>
      <c r="U63" s="25">
        <v>4</v>
      </c>
      <c r="V63" s="16" t="s">
        <v>257</v>
      </c>
      <c r="W63" s="16"/>
      <c r="X63" s="16">
        <v>2006</v>
      </c>
      <c r="Y63" s="13"/>
      <c r="Z63" s="13"/>
      <c r="AA63" s="17" t="s">
        <v>853</v>
      </c>
      <c r="AB63" s="27" t="s">
        <v>1437</v>
      </c>
      <c r="AC63" s="27" t="str">
        <f t="shared" si="14"/>
        <v>01</v>
      </c>
      <c r="AD63" s="28" t="str">
        <f t="shared" si="15"/>
        <v>1982</v>
      </c>
      <c r="AE63" s="44" t="s">
        <v>1438</v>
      </c>
      <c r="AF63" s="30">
        <f>AD63+60</f>
        <v>2042</v>
      </c>
      <c r="AG63" s="31" t="s">
        <v>1439</v>
      </c>
      <c r="AH63" s="32" t="s">
        <v>964</v>
      </c>
      <c r="AI63" s="31" t="s">
        <v>1440</v>
      </c>
      <c r="AJ63" s="31" t="s">
        <v>88</v>
      </c>
      <c r="AK63" s="33" t="s">
        <v>1441</v>
      </c>
      <c r="AL63" s="33">
        <v>4</v>
      </c>
      <c r="AM63" s="33">
        <v>2</v>
      </c>
      <c r="AN63" s="33" t="s">
        <v>1442</v>
      </c>
      <c r="AO63" s="33" t="s">
        <v>1442</v>
      </c>
      <c r="AP63" s="33" t="s">
        <v>110</v>
      </c>
      <c r="AQ63" s="33">
        <v>65318</v>
      </c>
      <c r="AR63" s="13" t="s">
        <v>1443</v>
      </c>
      <c r="AS63" s="34" t="s">
        <v>1444</v>
      </c>
      <c r="AT63" s="60" t="s">
        <v>1445</v>
      </c>
      <c r="AU63" s="60" t="s">
        <v>1040</v>
      </c>
      <c r="AV63" s="47" t="s">
        <v>1041</v>
      </c>
      <c r="AW63" s="31" t="s">
        <v>1042</v>
      </c>
      <c r="AX63" s="31" t="s">
        <v>1043</v>
      </c>
      <c r="AY63" s="38" t="s">
        <v>1044</v>
      </c>
      <c r="AZ63" s="31" t="s">
        <v>118</v>
      </c>
      <c r="BA63" s="48" t="s">
        <v>1042</v>
      </c>
      <c r="BB63" s="48" t="s">
        <v>1043</v>
      </c>
      <c r="BC63" s="46" t="s">
        <v>1044</v>
      </c>
      <c r="BD63" s="33" t="s">
        <v>121</v>
      </c>
      <c r="BE63" s="40" t="str">
        <f t="shared" si="8"/>
        <v>III/a</v>
      </c>
      <c r="BF63" s="49" t="s">
        <v>1048</v>
      </c>
      <c r="BG63" s="49" t="s">
        <v>1049</v>
      </c>
      <c r="BH63" s="33" t="s">
        <v>1446</v>
      </c>
      <c r="BI63" s="33" t="s">
        <v>125</v>
      </c>
      <c r="BJ63" s="33" t="s">
        <v>1447</v>
      </c>
      <c r="BK63" s="33"/>
      <c r="BL63" s="33" t="s">
        <v>305</v>
      </c>
      <c r="BM63" s="33" t="s">
        <v>129</v>
      </c>
      <c r="BN63" s="42" t="s">
        <v>1448</v>
      </c>
      <c r="BO63" s="13" t="s">
        <v>1449</v>
      </c>
      <c r="BP63" s="43" t="s">
        <v>1450</v>
      </c>
      <c r="BQ63" s="13" t="s">
        <v>1443</v>
      </c>
      <c r="BR63" s="13"/>
      <c r="BS63" s="13"/>
      <c r="BT63" s="13"/>
      <c r="BV63" s="14">
        <f t="shared" si="9"/>
        <v>12</v>
      </c>
      <c r="BW63" s="13"/>
      <c r="BX63" s="15">
        <f t="shared" si="16"/>
        <v>12</v>
      </c>
    </row>
    <row r="64" spans="1:76" s="3" customFormat="1" ht="18.75" customHeight="1" x14ac:dyDescent="0.25">
      <c r="A64" s="16">
        <v>57</v>
      </c>
      <c r="B64" s="13" t="s">
        <v>1451</v>
      </c>
      <c r="C64" s="17" t="s">
        <v>1452</v>
      </c>
      <c r="D64" s="18" t="s">
        <v>70</v>
      </c>
      <c r="E64" s="19"/>
      <c r="F64" s="19">
        <v>1</v>
      </c>
      <c r="G64" s="16" t="s">
        <v>1453</v>
      </c>
      <c r="H64" s="16" t="s">
        <v>1454</v>
      </c>
      <c r="I64" s="16" t="s">
        <v>82</v>
      </c>
      <c r="J64" s="17" t="s">
        <v>1337</v>
      </c>
      <c r="K64" s="16" t="s">
        <v>1383</v>
      </c>
      <c r="L64" s="46" t="s">
        <v>1267</v>
      </c>
      <c r="M64" s="46"/>
      <c r="N64" s="46"/>
      <c r="O64" s="46" t="s">
        <v>1144</v>
      </c>
      <c r="P64" s="16">
        <v>0</v>
      </c>
      <c r="Q64" s="16">
        <v>0</v>
      </c>
      <c r="R64" s="24">
        <v>10</v>
      </c>
      <c r="S64" s="24">
        <v>6</v>
      </c>
      <c r="T64" s="25">
        <v>10</v>
      </c>
      <c r="U64" s="25">
        <v>6</v>
      </c>
      <c r="V64" s="16" t="s">
        <v>257</v>
      </c>
      <c r="W64" s="16"/>
      <c r="X64" s="16">
        <v>2005</v>
      </c>
      <c r="Y64" s="13"/>
      <c r="Z64" s="13"/>
      <c r="AA64" s="17" t="s">
        <v>229</v>
      </c>
      <c r="AB64" s="30" t="s">
        <v>1455</v>
      </c>
      <c r="AC64" s="27" t="str">
        <f t="shared" si="14"/>
        <v>04</v>
      </c>
      <c r="AD64" s="28" t="str">
        <f t="shared" si="15"/>
        <v>1980</v>
      </c>
      <c r="AE64" s="44" t="s">
        <v>1456</v>
      </c>
      <c r="AF64" s="30">
        <f>AD64+60</f>
        <v>2040</v>
      </c>
      <c r="AG64" s="31" t="s">
        <v>1457</v>
      </c>
      <c r="AH64" s="32" t="s">
        <v>1458</v>
      </c>
      <c r="AI64" s="31" t="s">
        <v>1459</v>
      </c>
      <c r="AJ64" s="31" t="s">
        <v>88</v>
      </c>
      <c r="AK64" s="33" t="s">
        <v>1460</v>
      </c>
      <c r="AL64" s="33">
        <v>4</v>
      </c>
      <c r="AM64" s="33">
        <v>12</v>
      </c>
      <c r="AN64" s="33"/>
      <c r="AO64" s="33" t="s">
        <v>235</v>
      </c>
      <c r="AP64" s="33" t="s">
        <v>110</v>
      </c>
      <c r="AQ64" s="33">
        <v>65314</v>
      </c>
      <c r="AR64" s="33" t="s">
        <v>1461</v>
      </c>
      <c r="AS64" s="33" t="s">
        <v>1462</v>
      </c>
      <c r="AT64" s="31" t="s">
        <v>1463</v>
      </c>
      <c r="AU64" s="38" t="s">
        <v>1264</v>
      </c>
      <c r="AV64" s="47" t="s">
        <v>1144</v>
      </c>
      <c r="AW64" s="31" t="s">
        <v>1265</v>
      </c>
      <c r="AX64" s="31" t="s">
        <v>1266</v>
      </c>
      <c r="AY64" s="38" t="s">
        <v>1267</v>
      </c>
      <c r="AZ64" s="31" t="s">
        <v>714</v>
      </c>
      <c r="BA64" s="33" t="s">
        <v>1265</v>
      </c>
      <c r="BB64" s="33" t="s">
        <v>1266</v>
      </c>
      <c r="BC64" s="51" t="s">
        <v>1267</v>
      </c>
      <c r="BD64" s="33" t="s">
        <v>121</v>
      </c>
      <c r="BE64" s="40" t="str">
        <f t="shared" si="8"/>
        <v>III/a</v>
      </c>
      <c r="BF64" s="62" t="s">
        <v>1353</v>
      </c>
      <c r="BG64" s="62" t="s">
        <v>1354</v>
      </c>
      <c r="BH64" s="33" t="s">
        <v>1464</v>
      </c>
      <c r="BI64" s="33" t="s">
        <v>125</v>
      </c>
      <c r="BJ64" s="33" t="s">
        <v>1465</v>
      </c>
      <c r="BK64" s="33"/>
      <c r="BL64" s="33" t="s">
        <v>1121</v>
      </c>
      <c r="BM64" s="33" t="s">
        <v>129</v>
      </c>
      <c r="BN64" s="42"/>
      <c r="BO64" s="13" t="s">
        <v>1466</v>
      </c>
      <c r="BP64" s="43" t="s">
        <v>1467</v>
      </c>
      <c r="BQ64" s="13" t="s">
        <v>1468</v>
      </c>
      <c r="BR64" s="13"/>
      <c r="BS64" s="13"/>
      <c r="BT64" s="13"/>
      <c r="BV64" s="14">
        <f t="shared" si="9"/>
        <v>11</v>
      </c>
      <c r="BW64" s="13"/>
      <c r="BX64" s="15">
        <f t="shared" si="16"/>
        <v>11</v>
      </c>
    </row>
    <row r="65" spans="1:76" s="3" customFormat="1" ht="18.75" customHeight="1" x14ac:dyDescent="0.25">
      <c r="A65" s="16">
        <v>58</v>
      </c>
      <c r="B65" s="13" t="s">
        <v>1469</v>
      </c>
      <c r="C65" s="17" t="s">
        <v>1470</v>
      </c>
      <c r="D65" s="18" t="s">
        <v>69</v>
      </c>
      <c r="E65" s="19">
        <v>1</v>
      </c>
      <c r="F65" s="19"/>
      <c r="G65" s="16" t="s">
        <v>1471</v>
      </c>
      <c r="H65" s="16" t="s">
        <v>1472</v>
      </c>
      <c r="I65" s="16" t="s">
        <v>82</v>
      </c>
      <c r="J65" s="17" t="s">
        <v>1337</v>
      </c>
      <c r="K65" s="16" t="s">
        <v>1383</v>
      </c>
      <c r="L65" s="46" t="s">
        <v>1351</v>
      </c>
      <c r="M65" s="46"/>
      <c r="N65" s="46"/>
      <c r="O65" s="46" t="s">
        <v>1338</v>
      </c>
      <c r="P65" s="16">
        <v>0</v>
      </c>
      <c r="Q65" s="16">
        <v>0</v>
      </c>
      <c r="R65" s="24">
        <v>9</v>
      </c>
      <c r="S65" s="24">
        <v>6</v>
      </c>
      <c r="T65" s="25">
        <v>9</v>
      </c>
      <c r="U65" s="25">
        <v>6</v>
      </c>
      <c r="V65" s="16" t="s">
        <v>257</v>
      </c>
      <c r="W65" s="16"/>
      <c r="X65" s="16">
        <v>2004</v>
      </c>
      <c r="Y65" s="13"/>
      <c r="Z65" s="13"/>
      <c r="AA65" s="17" t="s">
        <v>432</v>
      </c>
      <c r="AB65" s="30" t="s">
        <v>1473</v>
      </c>
      <c r="AC65" s="27" t="str">
        <f t="shared" si="14"/>
        <v>12</v>
      </c>
      <c r="AD65" s="28" t="str">
        <f t="shared" si="15"/>
        <v>1978</v>
      </c>
      <c r="AE65" s="44" t="s">
        <v>1474</v>
      </c>
      <c r="AF65" s="30">
        <f>AD65+60+1</f>
        <v>2039</v>
      </c>
      <c r="AG65" s="31"/>
      <c r="AH65" s="32"/>
      <c r="AI65" s="31"/>
      <c r="AJ65" s="31" t="s">
        <v>88</v>
      </c>
      <c r="AK65" s="33" t="s">
        <v>1475</v>
      </c>
      <c r="AL65" s="33">
        <v>3</v>
      </c>
      <c r="AM65" s="33">
        <v>6</v>
      </c>
      <c r="AN65" s="33" t="s">
        <v>145</v>
      </c>
      <c r="AO65" s="33" t="s">
        <v>145</v>
      </c>
      <c r="AP65" s="33" t="s">
        <v>110</v>
      </c>
      <c r="AQ65" s="33">
        <v>65311</v>
      </c>
      <c r="AR65" s="33" t="s">
        <v>1476</v>
      </c>
      <c r="AS65" s="33" t="s">
        <v>1477</v>
      </c>
      <c r="AT65" s="31" t="s">
        <v>1478</v>
      </c>
      <c r="AU65" s="38" t="s">
        <v>1348</v>
      </c>
      <c r="AV65" s="47" t="s">
        <v>1338</v>
      </c>
      <c r="AW65" s="31" t="s">
        <v>1479</v>
      </c>
      <c r="AX65" s="31" t="s">
        <v>1350</v>
      </c>
      <c r="AY65" s="38" t="s">
        <v>1351</v>
      </c>
      <c r="AZ65" s="31" t="s">
        <v>714</v>
      </c>
      <c r="BA65" s="33" t="s">
        <v>1479</v>
      </c>
      <c r="BB65" s="33" t="s">
        <v>1350</v>
      </c>
      <c r="BC65" s="51" t="s">
        <v>1351</v>
      </c>
      <c r="BD65" s="33" t="s">
        <v>121</v>
      </c>
      <c r="BE65" s="40" t="str">
        <f t="shared" si="8"/>
        <v>III/a</v>
      </c>
      <c r="BF65" s="62" t="s">
        <v>1353</v>
      </c>
      <c r="BG65" s="62" t="s">
        <v>1354</v>
      </c>
      <c r="BH65" s="33" t="s">
        <v>124</v>
      </c>
      <c r="BI65" s="33" t="s">
        <v>125</v>
      </c>
      <c r="BJ65" s="33" t="s">
        <v>1480</v>
      </c>
      <c r="BK65" s="33" t="s">
        <v>1481</v>
      </c>
      <c r="BL65" s="33" t="s">
        <v>128</v>
      </c>
      <c r="BM65" s="33" t="s">
        <v>129</v>
      </c>
      <c r="BN65" s="42" t="s">
        <v>1482</v>
      </c>
      <c r="BO65" s="13" t="s">
        <v>1483</v>
      </c>
      <c r="BP65" s="43" t="s">
        <v>1484</v>
      </c>
      <c r="BQ65" s="13" t="s">
        <v>1476</v>
      </c>
      <c r="BR65" s="13"/>
      <c r="BS65" s="13"/>
      <c r="BT65" s="13"/>
      <c r="BV65" s="14">
        <f t="shared" si="9"/>
        <v>10</v>
      </c>
      <c r="BW65" s="13"/>
      <c r="BX65" s="15">
        <f t="shared" si="16"/>
        <v>10</v>
      </c>
    </row>
    <row r="66" spans="1:76" s="3" customFormat="1" ht="18.75" customHeight="1" x14ac:dyDescent="0.25">
      <c r="A66" s="16">
        <v>59</v>
      </c>
      <c r="B66" s="13" t="s">
        <v>1485</v>
      </c>
      <c r="C66" s="17" t="s">
        <v>1486</v>
      </c>
      <c r="D66" s="18" t="s">
        <v>69</v>
      </c>
      <c r="E66" s="19">
        <v>1</v>
      </c>
      <c r="F66" s="19"/>
      <c r="G66" s="16" t="s">
        <v>1487</v>
      </c>
      <c r="H66" s="16" t="s">
        <v>1488</v>
      </c>
      <c r="I66" s="16" t="s">
        <v>82</v>
      </c>
      <c r="J66" s="17" t="s">
        <v>1337</v>
      </c>
      <c r="K66" s="16" t="s">
        <v>1383</v>
      </c>
      <c r="L66" s="46" t="s">
        <v>1351</v>
      </c>
      <c r="M66" s="46"/>
      <c r="N66" s="46"/>
      <c r="O66" s="46" t="s">
        <v>1338</v>
      </c>
      <c r="P66" s="16">
        <v>0</v>
      </c>
      <c r="Q66" s="16">
        <v>0</v>
      </c>
      <c r="R66" s="24">
        <v>9</v>
      </c>
      <c r="S66" s="24">
        <v>6</v>
      </c>
      <c r="T66" s="25">
        <v>9</v>
      </c>
      <c r="U66" s="25">
        <v>6</v>
      </c>
      <c r="V66" s="16" t="s">
        <v>257</v>
      </c>
      <c r="W66" s="16"/>
      <c r="X66" s="16">
        <v>2006</v>
      </c>
      <c r="Y66" s="13"/>
      <c r="Z66" s="13"/>
      <c r="AA66" s="17" t="s">
        <v>624</v>
      </c>
      <c r="AB66" s="30" t="s">
        <v>1489</v>
      </c>
      <c r="AC66" s="27" t="str">
        <f t="shared" si="14"/>
        <v>05</v>
      </c>
      <c r="AD66" s="28" t="str">
        <f t="shared" si="15"/>
        <v>1983</v>
      </c>
      <c r="AE66" s="44" t="s">
        <v>1490</v>
      </c>
      <c r="AF66" s="30">
        <f>AD66+60</f>
        <v>2043</v>
      </c>
      <c r="AG66" s="31" t="s">
        <v>1491</v>
      </c>
      <c r="AH66" s="32"/>
      <c r="AI66" s="31" t="s">
        <v>1492</v>
      </c>
      <c r="AJ66" s="31" t="s">
        <v>88</v>
      </c>
      <c r="AK66" s="33" t="s">
        <v>1493</v>
      </c>
      <c r="AL66" s="33">
        <v>8</v>
      </c>
      <c r="AM66" s="33">
        <v>10</v>
      </c>
      <c r="AN66" s="33" t="s">
        <v>108</v>
      </c>
      <c r="AO66" s="33" t="s">
        <v>108</v>
      </c>
      <c r="AP66" s="33" t="s">
        <v>110</v>
      </c>
      <c r="AQ66" s="33">
        <v>65315</v>
      </c>
      <c r="AR66" s="33" t="s">
        <v>1494</v>
      </c>
      <c r="AS66" s="33" t="s">
        <v>1495</v>
      </c>
      <c r="AT66" s="31" t="s">
        <v>1496</v>
      </c>
      <c r="AU66" s="38" t="s">
        <v>1348</v>
      </c>
      <c r="AV66" s="47" t="s">
        <v>1338</v>
      </c>
      <c r="AW66" s="31" t="s">
        <v>1479</v>
      </c>
      <c r="AX66" s="31" t="s">
        <v>1350</v>
      </c>
      <c r="AY66" s="38" t="s">
        <v>1351</v>
      </c>
      <c r="AZ66" s="31" t="s">
        <v>714</v>
      </c>
      <c r="BA66" s="33" t="s">
        <v>1479</v>
      </c>
      <c r="BB66" s="33" t="s">
        <v>1350</v>
      </c>
      <c r="BC66" s="51" t="s">
        <v>1351</v>
      </c>
      <c r="BD66" s="33" t="s">
        <v>121</v>
      </c>
      <c r="BE66" s="40" t="str">
        <f t="shared" si="8"/>
        <v>III/a</v>
      </c>
      <c r="BF66" s="62" t="s">
        <v>1353</v>
      </c>
      <c r="BG66" s="62" t="s">
        <v>1354</v>
      </c>
      <c r="BH66" s="33" t="s">
        <v>124</v>
      </c>
      <c r="BI66" s="33" t="s">
        <v>125</v>
      </c>
      <c r="BJ66" s="33" t="s">
        <v>1497</v>
      </c>
      <c r="BK66" s="33"/>
      <c r="BL66" s="33" t="s">
        <v>329</v>
      </c>
      <c r="BM66" s="33" t="s">
        <v>129</v>
      </c>
      <c r="BN66" s="42" t="s">
        <v>1498</v>
      </c>
      <c r="BO66" s="13" t="s">
        <v>1499</v>
      </c>
      <c r="BP66" s="43" t="s">
        <v>1500</v>
      </c>
      <c r="BQ66" s="13" t="s">
        <v>1501</v>
      </c>
      <c r="BR66" s="13"/>
      <c r="BS66" s="13"/>
      <c r="BT66" s="13"/>
      <c r="BV66" s="14">
        <f t="shared" si="9"/>
        <v>10</v>
      </c>
      <c r="BW66" s="13"/>
      <c r="BX66" s="15">
        <f t="shared" si="16"/>
        <v>10</v>
      </c>
    </row>
    <row r="67" spans="1:76" s="84" customFormat="1" ht="18.75" customHeight="1" x14ac:dyDescent="0.3">
      <c r="A67" s="16">
        <v>60</v>
      </c>
      <c r="B67" s="67" t="s">
        <v>1502</v>
      </c>
      <c r="C67" s="68" t="s">
        <v>1503</v>
      </c>
      <c r="D67" s="69" t="s">
        <v>70</v>
      </c>
      <c r="E67" s="70"/>
      <c r="F67" s="70">
        <v>1</v>
      </c>
      <c r="G67" s="69" t="s">
        <v>124</v>
      </c>
      <c r="H67" s="69" t="s">
        <v>124</v>
      </c>
      <c r="I67" s="69" t="s">
        <v>1504</v>
      </c>
      <c r="J67" s="68" t="s">
        <v>124</v>
      </c>
      <c r="K67" s="69" t="s">
        <v>124</v>
      </c>
      <c r="L67" s="69" t="s">
        <v>124</v>
      </c>
      <c r="M67" s="69"/>
      <c r="N67" s="69"/>
      <c r="O67" s="71" t="s">
        <v>1505</v>
      </c>
      <c r="P67" s="69"/>
      <c r="Q67" s="69"/>
      <c r="R67" s="24"/>
      <c r="S67" s="24"/>
      <c r="T67" s="25">
        <v>14</v>
      </c>
      <c r="U67" s="72">
        <v>0</v>
      </c>
      <c r="V67" s="69" t="s">
        <v>257</v>
      </c>
      <c r="W67" s="69"/>
      <c r="X67" s="69">
        <v>2009</v>
      </c>
      <c r="Y67" s="67"/>
      <c r="Z67" s="67"/>
      <c r="AA67" s="73" t="s">
        <v>1506</v>
      </c>
      <c r="AB67" s="74" t="s">
        <v>1507</v>
      </c>
      <c r="AC67" s="75"/>
      <c r="AD67" s="76"/>
      <c r="AE67" s="77" t="s">
        <v>124</v>
      </c>
      <c r="AF67" s="77" t="s">
        <v>124</v>
      </c>
      <c r="AG67" s="74"/>
      <c r="AH67" s="78"/>
      <c r="AI67" s="74"/>
      <c r="AJ67" s="79"/>
      <c r="AK67" s="67" t="s">
        <v>1508</v>
      </c>
      <c r="AL67" s="67">
        <v>3</v>
      </c>
      <c r="AM67" s="67">
        <v>5</v>
      </c>
      <c r="AN67" s="67" t="s">
        <v>1509</v>
      </c>
      <c r="AO67" s="67" t="s">
        <v>1509</v>
      </c>
      <c r="AP67" s="67" t="s">
        <v>814</v>
      </c>
      <c r="AQ67" s="67">
        <v>65315</v>
      </c>
      <c r="AR67" s="67" t="s">
        <v>1510</v>
      </c>
      <c r="AS67" s="67"/>
      <c r="AT67" s="80" t="s">
        <v>1511</v>
      </c>
      <c r="AU67" s="80" t="s">
        <v>970</v>
      </c>
      <c r="AV67" s="81" t="s">
        <v>1505</v>
      </c>
      <c r="AW67" s="79"/>
      <c r="AX67" s="79"/>
      <c r="AY67" s="79"/>
      <c r="AZ67" s="79"/>
      <c r="BA67" s="67"/>
      <c r="BB67" s="67"/>
      <c r="BC67" s="67"/>
      <c r="BD67" s="67"/>
      <c r="BE67" s="82" t="str">
        <f t="shared" ref="BE67:BE80" si="17">J67</f>
        <v>-</v>
      </c>
      <c r="BF67" s="68"/>
      <c r="BG67" s="68"/>
      <c r="BH67" s="67"/>
      <c r="BI67" s="67"/>
      <c r="BJ67" s="67"/>
      <c r="BK67" s="67"/>
      <c r="BL67" s="67"/>
      <c r="BM67" s="67"/>
      <c r="BN67" s="83"/>
      <c r="BO67" s="67" t="s">
        <v>1512</v>
      </c>
      <c r="BP67" s="82" t="s">
        <v>1513</v>
      </c>
      <c r="BQ67" s="67" t="s">
        <v>1510</v>
      </c>
      <c r="BR67" s="67"/>
      <c r="BS67" s="67"/>
      <c r="BT67" s="67"/>
      <c r="BV67" s="14"/>
      <c r="BW67" s="67"/>
      <c r="BX67" s="15">
        <f t="shared" si="16"/>
        <v>15</v>
      </c>
    </row>
    <row r="68" spans="1:76" s="84" customFormat="1" ht="18.75" customHeight="1" x14ac:dyDescent="0.3">
      <c r="A68" s="16">
        <v>61</v>
      </c>
      <c r="B68" s="67" t="s">
        <v>1514</v>
      </c>
      <c r="C68" s="68" t="s">
        <v>1515</v>
      </c>
      <c r="D68" s="69" t="s">
        <v>70</v>
      </c>
      <c r="E68" s="70"/>
      <c r="F68" s="70">
        <v>1</v>
      </c>
      <c r="G68" s="69" t="s">
        <v>124</v>
      </c>
      <c r="H68" s="69" t="s">
        <v>124</v>
      </c>
      <c r="I68" s="69" t="s">
        <v>1504</v>
      </c>
      <c r="J68" s="68" t="s">
        <v>124</v>
      </c>
      <c r="K68" s="69" t="s">
        <v>124</v>
      </c>
      <c r="L68" s="69" t="s">
        <v>124</v>
      </c>
      <c r="M68" s="69"/>
      <c r="N68" s="69"/>
      <c r="O68" s="71" t="s">
        <v>430</v>
      </c>
      <c r="P68" s="67"/>
      <c r="Q68" s="67"/>
      <c r="R68" s="14"/>
      <c r="S68" s="14"/>
      <c r="T68" s="25">
        <v>13</v>
      </c>
      <c r="U68" s="72">
        <v>3</v>
      </c>
      <c r="V68" s="69" t="s">
        <v>257</v>
      </c>
      <c r="W68" s="69"/>
      <c r="X68" s="69">
        <v>2005</v>
      </c>
      <c r="Y68" s="67"/>
      <c r="Z68" s="67"/>
      <c r="AA68" s="73" t="s">
        <v>1516</v>
      </c>
      <c r="AB68" s="74" t="s">
        <v>1517</v>
      </c>
      <c r="AC68" s="79"/>
      <c r="AD68" s="74"/>
      <c r="AE68" s="77" t="s">
        <v>124</v>
      </c>
      <c r="AF68" s="77" t="s">
        <v>124</v>
      </c>
      <c r="AG68" s="74"/>
      <c r="AH68" s="78"/>
      <c r="AI68" s="74"/>
      <c r="AJ68" s="85"/>
      <c r="AK68" s="82" t="s">
        <v>1518</v>
      </c>
      <c r="AL68" s="82">
        <v>4</v>
      </c>
      <c r="AM68" s="82">
        <v>8</v>
      </c>
      <c r="AN68" s="82" t="s">
        <v>1137</v>
      </c>
      <c r="AO68" s="82" t="s">
        <v>1137</v>
      </c>
      <c r="AP68" s="82" t="s">
        <v>1137</v>
      </c>
      <c r="AQ68" s="82">
        <v>65321</v>
      </c>
      <c r="AR68" s="67" t="s">
        <v>1519</v>
      </c>
      <c r="AS68" s="82"/>
      <c r="AT68" s="80" t="s">
        <v>1520</v>
      </c>
      <c r="AU68" s="80" t="s">
        <v>1521</v>
      </c>
      <c r="AV68" s="81" t="s">
        <v>430</v>
      </c>
      <c r="AW68" s="85"/>
      <c r="AX68" s="85"/>
      <c r="AY68" s="85"/>
      <c r="AZ68" s="85"/>
      <c r="BA68" s="82"/>
      <c r="BB68" s="82"/>
      <c r="BC68" s="82"/>
      <c r="BD68" s="82"/>
      <c r="BE68" s="82" t="str">
        <f t="shared" si="17"/>
        <v>-</v>
      </c>
      <c r="BF68" s="86"/>
      <c r="BG68" s="86"/>
      <c r="BH68" s="82"/>
      <c r="BI68" s="82"/>
      <c r="BJ68" s="82"/>
      <c r="BK68" s="82"/>
      <c r="BL68" s="82"/>
      <c r="BM68" s="82"/>
      <c r="BN68" s="87"/>
      <c r="BO68" s="67" t="s">
        <v>1522</v>
      </c>
      <c r="BP68" s="82" t="s">
        <v>1523</v>
      </c>
      <c r="BQ68" s="67" t="s">
        <v>1519</v>
      </c>
      <c r="BR68" s="82"/>
      <c r="BS68" s="82"/>
      <c r="BT68" s="82"/>
      <c r="BU68" s="88"/>
      <c r="BV68" s="40"/>
      <c r="BW68" s="82"/>
      <c r="BX68" s="15">
        <f t="shared" si="16"/>
        <v>14</v>
      </c>
    </row>
    <row r="69" spans="1:76" s="84" customFormat="1" ht="18.75" customHeight="1" x14ac:dyDescent="0.3">
      <c r="A69" s="16">
        <v>62</v>
      </c>
      <c r="B69" s="67" t="s">
        <v>1524</v>
      </c>
      <c r="C69" s="68" t="s">
        <v>1525</v>
      </c>
      <c r="D69" s="69" t="s">
        <v>69</v>
      </c>
      <c r="E69" s="70">
        <v>1</v>
      </c>
      <c r="F69" s="70"/>
      <c r="G69" s="69" t="s">
        <v>124</v>
      </c>
      <c r="H69" s="69" t="s">
        <v>124</v>
      </c>
      <c r="I69" s="69" t="s">
        <v>1504</v>
      </c>
      <c r="J69" s="68" t="s">
        <v>124</v>
      </c>
      <c r="K69" s="69" t="s">
        <v>124</v>
      </c>
      <c r="L69" s="69" t="s">
        <v>124</v>
      </c>
      <c r="M69" s="69"/>
      <c r="N69" s="69"/>
      <c r="O69" s="71" t="s">
        <v>1526</v>
      </c>
      <c r="P69" s="67"/>
      <c r="Q69" s="67"/>
      <c r="R69" s="14"/>
      <c r="S69" s="14"/>
      <c r="T69" s="25">
        <v>13</v>
      </c>
      <c r="U69" s="72">
        <v>2</v>
      </c>
      <c r="V69" s="69" t="s">
        <v>257</v>
      </c>
      <c r="W69" s="69"/>
      <c r="X69" s="69">
        <v>2006</v>
      </c>
      <c r="Y69" s="67"/>
      <c r="Z69" s="67"/>
      <c r="AA69" s="68" t="s">
        <v>675</v>
      </c>
      <c r="AB69" s="74" t="s">
        <v>1527</v>
      </c>
      <c r="AC69" s="79"/>
      <c r="AD69" s="74"/>
      <c r="AE69" s="77" t="s">
        <v>124</v>
      </c>
      <c r="AF69" s="77" t="s">
        <v>124</v>
      </c>
      <c r="AG69" s="74"/>
      <c r="AH69" s="78"/>
      <c r="AI69" s="74"/>
      <c r="AJ69" s="85"/>
      <c r="AK69" s="82" t="s">
        <v>1528</v>
      </c>
      <c r="AL69" s="82">
        <v>7</v>
      </c>
      <c r="AM69" s="82">
        <v>1</v>
      </c>
      <c r="AN69" s="82" t="s">
        <v>1529</v>
      </c>
      <c r="AO69" s="82" t="s">
        <v>1530</v>
      </c>
      <c r="AP69" s="82" t="s">
        <v>1530</v>
      </c>
      <c r="AQ69" s="82">
        <v>65144</v>
      </c>
      <c r="AR69" s="82" t="s">
        <v>1531</v>
      </c>
      <c r="AS69" s="82"/>
      <c r="AT69" s="80" t="s">
        <v>1520</v>
      </c>
      <c r="AU69" s="80" t="s">
        <v>1521</v>
      </c>
      <c r="AV69" s="81" t="s">
        <v>1526</v>
      </c>
      <c r="AW69" s="85"/>
      <c r="AX69" s="85"/>
      <c r="AY69" s="85"/>
      <c r="AZ69" s="85"/>
      <c r="BA69" s="82"/>
      <c r="BB69" s="82"/>
      <c r="BC69" s="82"/>
      <c r="BD69" s="82"/>
      <c r="BE69" s="82" t="str">
        <f t="shared" si="17"/>
        <v>-</v>
      </c>
      <c r="BF69" s="86"/>
      <c r="BG69" s="86"/>
      <c r="BH69" s="82"/>
      <c r="BI69" s="82"/>
      <c r="BJ69" s="82"/>
      <c r="BK69" s="82"/>
      <c r="BL69" s="82"/>
      <c r="BM69" s="82"/>
      <c r="BN69" s="87"/>
      <c r="BO69" s="67" t="s">
        <v>1532</v>
      </c>
      <c r="BP69" s="82" t="s">
        <v>1533</v>
      </c>
      <c r="BQ69" s="82" t="s">
        <v>1531</v>
      </c>
      <c r="BR69" s="82"/>
      <c r="BS69" s="82"/>
      <c r="BT69" s="82"/>
      <c r="BU69" s="88"/>
      <c r="BV69" s="40"/>
      <c r="BW69" s="82"/>
      <c r="BX69" s="15">
        <f t="shared" si="16"/>
        <v>14</v>
      </c>
    </row>
    <row r="70" spans="1:76" s="88" customFormat="1" ht="18.75" customHeight="1" x14ac:dyDescent="0.3">
      <c r="A70" s="16">
        <v>63</v>
      </c>
      <c r="B70" s="67" t="s">
        <v>1534</v>
      </c>
      <c r="C70" s="68" t="s">
        <v>1535</v>
      </c>
      <c r="D70" s="69" t="s">
        <v>70</v>
      </c>
      <c r="E70" s="70"/>
      <c r="F70" s="70">
        <v>1</v>
      </c>
      <c r="G70" s="69" t="s">
        <v>124</v>
      </c>
      <c r="H70" s="69" t="s">
        <v>124</v>
      </c>
      <c r="I70" s="69" t="s">
        <v>1504</v>
      </c>
      <c r="J70" s="68" t="s">
        <v>124</v>
      </c>
      <c r="K70" s="69" t="s">
        <v>124</v>
      </c>
      <c r="L70" s="69" t="s">
        <v>124</v>
      </c>
      <c r="M70" s="69"/>
      <c r="N70" s="69"/>
      <c r="O70" s="71" t="s">
        <v>1536</v>
      </c>
      <c r="P70" s="67"/>
      <c r="Q70" s="67"/>
      <c r="R70" s="14"/>
      <c r="S70" s="14"/>
      <c r="T70" s="25">
        <v>9</v>
      </c>
      <c r="U70" s="72">
        <v>0</v>
      </c>
      <c r="V70" s="69" t="s">
        <v>257</v>
      </c>
      <c r="W70" s="69"/>
      <c r="X70" s="69">
        <v>2007</v>
      </c>
      <c r="Y70" s="67"/>
      <c r="Z70" s="67"/>
      <c r="AA70" s="73" t="s">
        <v>649</v>
      </c>
      <c r="AB70" s="77" t="s">
        <v>1537</v>
      </c>
      <c r="AC70" s="79"/>
      <c r="AD70" s="74"/>
      <c r="AE70" s="77" t="s">
        <v>124</v>
      </c>
      <c r="AF70" s="77" t="s">
        <v>124</v>
      </c>
      <c r="AG70" s="74"/>
      <c r="AH70" s="74"/>
      <c r="AI70" s="74"/>
      <c r="AJ70" s="85"/>
      <c r="AK70" s="82" t="s">
        <v>1538</v>
      </c>
      <c r="AL70" s="82">
        <v>5</v>
      </c>
      <c r="AM70" s="82">
        <v>4</v>
      </c>
      <c r="AN70" s="82" t="s">
        <v>1036</v>
      </c>
      <c r="AO70" s="82" t="s">
        <v>1036</v>
      </c>
      <c r="AP70" s="82" t="s">
        <v>514</v>
      </c>
      <c r="AQ70" s="82"/>
      <c r="AR70" s="82" t="s">
        <v>1539</v>
      </c>
      <c r="AS70" s="82"/>
      <c r="AT70" s="80" t="s">
        <v>1540</v>
      </c>
      <c r="AU70" s="80" t="s">
        <v>1541</v>
      </c>
      <c r="AV70" s="81" t="s">
        <v>1536</v>
      </c>
      <c r="AW70" s="85"/>
      <c r="AX70" s="85"/>
      <c r="AY70" s="85"/>
      <c r="AZ70" s="85"/>
      <c r="BA70" s="82"/>
      <c r="BB70" s="82"/>
      <c r="BC70" s="82"/>
      <c r="BD70" s="82"/>
      <c r="BE70" s="82" t="str">
        <f t="shared" si="17"/>
        <v>-</v>
      </c>
      <c r="BF70" s="86"/>
      <c r="BG70" s="86"/>
      <c r="BH70" s="82"/>
      <c r="BI70" s="82"/>
      <c r="BJ70" s="82"/>
      <c r="BK70" s="82"/>
      <c r="BL70" s="82"/>
      <c r="BM70" s="82"/>
      <c r="BN70" s="87"/>
      <c r="BO70" s="67" t="s">
        <v>1542</v>
      </c>
      <c r="BP70" s="82" t="s">
        <v>1543</v>
      </c>
      <c r="BQ70" s="82" t="s">
        <v>1539</v>
      </c>
      <c r="BR70" s="82"/>
      <c r="BS70" s="82"/>
      <c r="BT70" s="82"/>
      <c r="BV70" s="40"/>
      <c r="BW70" s="82"/>
      <c r="BX70" s="15">
        <f t="shared" si="16"/>
        <v>10</v>
      </c>
    </row>
    <row r="71" spans="1:76" s="88" customFormat="1" ht="18.75" customHeight="1" x14ac:dyDescent="0.3">
      <c r="A71" s="16">
        <v>64</v>
      </c>
      <c r="B71" s="67" t="s">
        <v>1544</v>
      </c>
      <c r="C71" s="68" t="s">
        <v>1545</v>
      </c>
      <c r="D71" s="69" t="s">
        <v>69</v>
      </c>
      <c r="E71" s="70">
        <v>1</v>
      </c>
      <c r="F71" s="70"/>
      <c r="G71" s="69" t="s">
        <v>124</v>
      </c>
      <c r="H71" s="69" t="s">
        <v>124</v>
      </c>
      <c r="I71" s="69" t="s">
        <v>1504</v>
      </c>
      <c r="J71" s="68" t="s">
        <v>124</v>
      </c>
      <c r="K71" s="69" t="s">
        <v>124</v>
      </c>
      <c r="L71" s="69" t="s">
        <v>124</v>
      </c>
      <c r="M71" s="69"/>
      <c r="N71" s="69"/>
      <c r="O71" s="71" t="s">
        <v>991</v>
      </c>
      <c r="P71" s="67"/>
      <c r="Q71" s="67"/>
      <c r="R71" s="14"/>
      <c r="S71" s="14"/>
      <c r="T71" s="25">
        <v>8</v>
      </c>
      <c r="U71" s="72">
        <v>9</v>
      </c>
      <c r="V71" s="69" t="s">
        <v>257</v>
      </c>
      <c r="W71" s="69"/>
      <c r="X71" s="69">
        <v>1998</v>
      </c>
      <c r="Y71" s="67"/>
      <c r="Z71" s="67"/>
      <c r="AA71" s="73" t="s">
        <v>1546</v>
      </c>
      <c r="AB71" s="77" t="s">
        <v>124</v>
      </c>
      <c r="AC71" s="79"/>
      <c r="AD71" s="74"/>
      <c r="AE71" s="77" t="s">
        <v>124</v>
      </c>
      <c r="AF71" s="77" t="s">
        <v>124</v>
      </c>
      <c r="AG71" s="74"/>
      <c r="AH71" s="74"/>
      <c r="AI71" s="74"/>
      <c r="AJ71" s="85"/>
      <c r="AK71" s="82" t="s">
        <v>1547</v>
      </c>
      <c r="AL71" s="82">
        <v>7</v>
      </c>
      <c r="AM71" s="82">
        <v>7</v>
      </c>
      <c r="AN71" s="82" t="s">
        <v>1548</v>
      </c>
      <c r="AO71" s="82" t="s">
        <v>1548</v>
      </c>
      <c r="AP71" s="82" t="s">
        <v>1137</v>
      </c>
      <c r="AQ71" s="82">
        <v>65333</v>
      </c>
      <c r="AR71" s="82" t="s">
        <v>1549</v>
      </c>
      <c r="AS71" s="82"/>
      <c r="AT71" s="80" t="s">
        <v>1540</v>
      </c>
      <c r="AU71" s="80" t="s">
        <v>1550</v>
      </c>
      <c r="AV71" s="81" t="s">
        <v>991</v>
      </c>
      <c r="AW71" s="85"/>
      <c r="AX71" s="85"/>
      <c r="AY71" s="85"/>
      <c r="AZ71" s="85"/>
      <c r="BA71" s="82"/>
      <c r="BB71" s="82"/>
      <c r="BC71" s="82"/>
      <c r="BD71" s="82"/>
      <c r="BE71" s="82" t="str">
        <f t="shared" si="17"/>
        <v>-</v>
      </c>
      <c r="BF71" s="86"/>
      <c r="BG71" s="86"/>
      <c r="BH71" s="82"/>
      <c r="BI71" s="82"/>
      <c r="BJ71" s="82"/>
      <c r="BK71" s="82"/>
      <c r="BL71" s="82"/>
      <c r="BM71" s="82"/>
      <c r="BN71" s="87"/>
      <c r="BO71" s="67" t="s">
        <v>1551</v>
      </c>
      <c r="BP71" s="82" t="s">
        <v>1552</v>
      </c>
      <c r="BQ71" s="82" t="s">
        <v>1549</v>
      </c>
      <c r="BR71" s="82"/>
      <c r="BS71" s="82"/>
      <c r="BT71" s="82"/>
      <c r="BV71" s="40"/>
      <c r="BW71" s="82"/>
      <c r="BX71" s="15">
        <f t="shared" si="16"/>
        <v>9</v>
      </c>
    </row>
    <row r="72" spans="1:76" s="88" customFormat="1" ht="18.75" customHeight="1" x14ac:dyDescent="0.3">
      <c r="A72" s="16">
        <v>65</v>
      </c>
      <c r="B72" s="67" t="s">
        <v>1553</v>
      </c>
      <c r="C72" s="68" t="s">
        <v>1554</v>
      </c>
      <c r="D72" s="69" t="s">
        <v>70</v>
      </c>
      <c r="E72" s="70"/>
      <c r="F72" s="70">
        <v>1</v>
      </c>
      <c r="G72" s="69" t="s">
        <v>124</v>
      </c>
      <c r="H72" s="69" t="s">
        <v>124</v>
      </c>
      <c r="I72" s="69" t="s">
        <v>1504</v>
      </c>
      <c r="J72" s="68" t="s">
        <v>124</v>
      </c>
      <c r="K72" s="69" t="s">
        <v>124</v>
      </c>
      <c r="L72" s="69" t="s">
        <v>124</v>
      </c>
      <c r="M72" s="69"/>
      <c r="N72" s="69"/>
      <c r="O72" s="71" t="s">
        <v>1555</v>
      </c>
      <c r="P72" s="67"/>
      <c r="Q72" s="67"/>
      <c r="R72" s="14"/>
      <c r="S72" s="14"/>
      <c r="T72" s="25">
        <v>6</v>
      </c>
      <c r="U72" s="72">
        <v>10</v>
      </c>
      <c r="V72" s="69" t="s">
        <v>85</v>
      </c>
      <c r="W72" s="69"/>
      <c r="X72" s="69">
        <v>2016</v>
      </c>
      <c r="Y72" s="67"/>
      <c r="Z72" s="67"/>
      <c r="AA72" s="73" t="s">
        <v>1556</v>
      </c>
      <c r="AB72" s="89" t="s">
        <v>1557</v>
      </c>
      <c r="AC72" s="79"/>
      <c r="AD72" s="74"/>
      <c r="AE72" s="77" t="s">
        <v>124</v>
      </c>
      <c r="AF72" s="77" t="s">
        <v>124</v>
      </c>
      <c r="AG72" s="74"/>
      <c r="AH72" s="74"/>
      <c r="AI72" s="74"/>
      <c r="AJ72" s="85"/>
      <c r="AK72" s="82" t="s">
        <v>1558</v>
      </c>
      <c r="AL72" s="82">
        <v>2</v>
      </c>
      <c r="AM72" s="82">
        <v>3</v>
      </c>
      <c r="AN72" s="82" t="s">
        <v>812</v>
      </c>
      <c r="AO72" s="82" t="s">
        <v>812</v>
      </c>
      <c r="AP72" s="82" t="s">
        <v>814</v>
      </c>
      <c r="AQ72" s="82">
        <v>65316</v>
      </c>
      <c r="AR72" s="82" t="s">
        <v>1559</v>
      </c>
      <c r="AS72" s="82"/>
      <c r="AT72" s="80" t="s">
        <v>1560</v>
      </c>
      <c r="AU72" s="90" t="s">
        <v>1561</v>
      </c>
      <c r="AV72" s="81" t="s">
        <v>1555</v>
      </c>
      <c r="AW72" s="85"/>
      <c r="AX72" s="85"/>
      <c r="AY72" s="85"/>
      <c r="AZ72" s="85"/>
      <c r="BA72" s="82"/>
      <c r="BB72" s="82"/>
      <c r="BC72" s="82"/>
      <c r="BD72" s="82"/>
      <c r="BE72" s="82" t="str">
        <f t="shared" si="17"/>
        <v>-</v>
      </c>
      <c r="BF72" s="86"/>
      <c r="BG72" s="86"/>
      <c r="BH72" s="82"/>
      <c r="BI72" s="82"/>
      <c r="BJ72" s="82"/>
      <c r="BK72" s="82"/>
      <c r="BL72" s="82"/>
      <c r="BM72" s="82"/>
      <c r="BN72" s="87"/>
      <c r="BO72" s="67" t="s">
        <v>1562</v>
      </c>
      <c r="BP72" s="82" t="s">
        <v>1563</v>
      </c>
      <c r="BQ72" s="82" t="s">
        <v>1559</v>
      </c>
      <c r="BR72" s="82"/>
      <c r="BS72" s="82"/>
      <c r="BT72" s="82"/>
      <c r="BV72" s="40"/>
      <c r="BW72" s="82"/>
      <c r="BX72" s="15">
        <f t="shared" si="16"/>
        <v>7</v>
      </c>
    </row>
    <row r="73" spans="1:76" s="88" customFormat="1" ht="18.75" customHeight="1" x14ac:dyDescent="0.3">
      <c r="A73" s="16">
        <v>66</v>
      </c>
      <c r="B73" s="67" t="s">
        <v>1564</v>
      </c>
      <c r="C73" s="68" t="s">
        <v>1565</v>
      </c>
      <c r="D73" s="69" t="s">
        <v>69</v>
      </c>
      <c r="E73" s="70">
        <v>1</v>
      </c>
      <c r="F73" s="70"/>
      <c r="G73" s="69" t="s">
        <v>124</v>
      </c>
      <c r="H73" s="69" t="s">
        <v>124</v>
      </c>
      <c r="I73" s="69" t="s">
        <v>1504</v>
      </c>
      <c r="J73" s="68" t="s">
        <v>124</v>
      </c>
      <c r="K73" s="69" t="s">
        <v>124</v>
      </c>
      <c r="L73" s="69" t="s">
        <v>124</v>
      </c>
      <c r="M73" s="69"/>
      <c r="N73" s="69"/>
      <c r="O73" s="71" t="s">
        <v>1566</v>
      </c>
      <c r="P73" s="67"/>
      <c r="Q73" s="67"/>
      <c r="R73" s="14"/>
      <c r="S73" s="14"/>
      <c r="T73" s="25">
        <v>6</v>
      </c>
      <c r="U73" s="72">
        <v>0</v>
      </c>
      <c r="V73" s="69" t="s">
        <v>257</v>
      </c>
      <c r="W73" s="69"/>
      <c r="X73" s="69">
        <v>1992</v>
      </c>
      <c r="Y73" s="67"/>
      <c r="Z73" s="67"/>
      <c r="AA73" s="73" t="s">
        <v>1567</v>
      </c>
      <c r="AB73" s="74" t="s">
        <v>1568</v>
      </c>
      <c r="AC73" s="79"/>
      <c r="AD73" s="74"/>
      <c r="AE73" s="77" t="s">
        <v>124</v>
      </c>
      <c r="AF73" s="77" t="s">
        <v>124</v>
      </c>
      <c r="AG73" s="74" t="s">
        <v>1569</v>
      </c>
      <c r="AH73" s="91" t="s">
        <v>1570</v>
      </c>
      <c r="AI73" s="74" t="s">
        <v>1571</v>
      </c>
      <c r="AJ73" s="85"/>
      <c r="AK73" s="92" t="s">
        <v>1572</v>
      </c>
      <c r="AL73" s="82">
        <v>2</v>
      </c>
      <c r="AM73" s="82">
        <v>8</v>
      </c>
      <c r="AN73" s="82" t="s">
        <v>235</v>
      </c>
      <c r="AO73" s="82" t="s">
        <v>235</v>
      </c>
      <c r="AP73" s="82" t="s">
        <v>814</v>
      </c>
      <c r="AQ73" s="82">
        <v>65314</v>
      </c>
      <c r="AR73" s="82" t="s">
        <v>1573</v>
      </c>
      <c r="AS73" s="82"/>
      <c r="AT73" s="80" t="s">
        <v>1574</v>
      </c>
      <c r="AU73" s="93" t="s">
        <v>1575</v>
      </c>
      <c r="AV73" s="81" t="s">
        <v>1566</v>
      </c>
      <c r="AW73" s="85"/>
      <c r="AX73" s="85"/>
      <c r="AY73" s="85"/>
      <c r="AZ73" s="85"/>
      <c r="BA73" s="82"/>
      <c r="BB73" s="82"/>
      <c r="BC73" s="82"/>
      <c r="BD73" s="82"/>
      <c r="BE73" s="82" t="str">
        <f t="shared" si="17"/>
        <v>-</v>
      </c>
      <c r="BF73" s="86"/>
      <c r="BG73" s="86"/>
      <c r="BH73" s="82"/>
      <c r="BI73" s="82"/>
      <c r="BJ73" s="82"/>
      <c r="BK73" s="82"/>
      <c r="BL73" s="82"/>
      <c r="BM73" s="82"/>
      <c r="BN73" s="87"/>
      <c r="BO73" s="67" t="s">
        <v>1576</v>
      </c>
      <c r="BP73" s="82" t="s">
        <v>1577</v>
      </c>
      <c r="BQ73" s="82" t="s">
        <v>1573</v>
      </c>
      <c r="BR73" s="82"/>
      <c r="BS73" s="82"/>
      <c r="BT73" s="82"/>
      <c r="BV73" s="40"/>
      <c r="BW73" s="82"/>
      <c r="BX73" s="15">
        <f t="shared" si="16"/>
        <v>7</v>
      </c>
    </row>
    <row r="74" spans="1:76" s="88" customFormat="1" ht="18.75" customHeight="1" x14ac:dyDescent="0.3">
      <c r="A74" s="16">
        <v>67</v>
      </c>
      <c r="B74" s="67" t="s">
        <v>1578</v>
      </c>
      <c r="C74" s="68" t="s">
        <v>1579</v>
      </c>
      <c r="D74" s="69" t="s">
        <v>70</v>
      </c>
      <c r="E74" s="70"/>
      <c r="F74" s="70">
        <v>1</v>
      </c>
      <c r="G74" s="69" t="s">
        <v>124</v>
      </c>
      <c r="H74" s="69" t="s">
        <v>124</v>
      </c>
      <c r="I74" s="69" t="s">
        <v>1504</v>
      </c>
      <c r="J74" s="68" t="s">
        <v>124</v>
      </c>
      <c r="K74" s="69" t="s">
        <v>124</v>
      </c>
      <c r="L74" s="69" t="s">
        <v>124</v>
      </c>
      <c r="M74" s="69"/>
      <c r="N74" s="69"/>
      <c r="O74" s="71" t="s">
        <v>1566</v>
      </c>
      <c r="P74" s="67"/>
      <c r="Q74" s="67"/>
      <c r="R74" s="14"/>
      <c r="S74" s="14"/>
      <c r="T74" s="25">
        <v>6</v>
      </c>
      <c r="U74" s="72">
        <v>0</v>
      </c>
      <c r="V74" s="69" t="s">
        <v>85</v>
      </c>
      <c r="W74" s="69"/>
      <c r="X74" s="69">
        <v>2016</v>
      </c>
      <c r="Y74" s="67"/>
      <c r="Z74" s="67"/>
      <c r="AA74" s="73" t="s">
        <v>1556</v>
      </c>
      <c r="AB74" s="74" t="s">
        <v>1580</v>
      </c>
      <c r="AC74" s="79"/>
      <c r="AD74" s="74"/>
      <c r="AE74" s="77" t="s">
        <v>124</v>
      </c>
      <c r="AF74" s="77" t="s">
        <v>124</v>
      </c>
      <c r="AG74" s="74"/>
      <c r="AH74" s="74"/>
      <c r="AI74" s="74"/>
      <c r="AJ74" s="85"/>
      <c r="AK74" s="82" t="s">
        <v>1581</v>
      </c>
      <c r="AL74" s="82">
        <v>5</v>
      </c>
      <c r="AM74" s="82">
        <v>2</v>
      </c>
      <c r="AN74" s="82" t="s">
        <v>235</v>
      </c>
      <c r="AO74" s="82" t="s">
        <v>235</v>
      </c>
      <c r="AP74" s="82" t="s">
        <v>814</v>
      </c>
      <c r="AQ74" s="82">
        <v>65314</v>
      </c>
      <c r="AR74" s="82" t="s">
        <v>1582</v>
      </c>
      <c r="AS74" s="82"/>
      <c r="AT74" s="80" t="s">
        <v>1574</v>
      </c>
      <c r="AU74" s="80" t="s">
        <v>1575</v>
      </c>
      <c r="AV74" s="81" t="s">
        <v>1566</v>
      </c>
      <c r="AW74" s="85"/>
      <c r="AX74" s="85"/>
      <c r="AY74" s="85"/>
      <c r="AZ74" s="85"/>
      <c r="BA74" s="82"/>
      <c r="BB74" s="82"/>
      <c r="BC74" s="82"/>
      <c r="BD74" s="82"/>
      <c r="BE74" s="82" t="str">
        <f t="shared" si="17"/>
        <v>-</v>
      </c>
      <c r="BF74" s="86"/>
      <c r="BG74" s="86"/>
      <c r="BH74" s="82"/>
      <c r="BI74" s="82"/>
      <c r="BJ74" s="82"/>
      <c r="BK74" s="82"/>
      <c r="BL74" s="82"/>
      <c r="BM74" s="82"/>
      <c r="BN74" s="87"/>
      <c r="BO74" s="67" t="s">
        <v>1583</v>
      </c>
      <c r="BP74" s="82" t="s">
        <v>1584</v>
      </c>
      <c r="BQ74" s="82" t="s">
        <v>1582</v>
      </c>
      <c r="BR74" s="82"/>
      <c r="BS74" s="82"/>
      <c r="BT74" s="82"/>
      <c r="BV74" s="40"/>
      <c r="BW74" s="82"/>
      <c r="BX74" s="15">
        <f t="shared" si="16"/>
        <v>7</v>
      </c>
    </row>
    <row r="75" spans="1:76" s="88" customFormat="1" ht="18.75" customHeight="1" x14ac:dyDescent="0.3">
      <c r="A75" s="16">
        <v>68</v>
      </c>
      <c r="B75" s="67" t="s">
        <v>1585</v>
      </c>
      <c r="C75" s="68" t="s">
        <v>1586</v>
      </c>
      <c r="D75" s="69" t="s">
        <v>70</v>
      </c>
      <c r="E75" s="70"/>
      <c r="F75" s="70">
        <v>1</v>
      </c>
      <c r="G75" s="69" t="s">
        <v>124</v>
      </c>
      <c r="H75" s="69" t="s">
        <v>124</v>
      </c>
      <c r="I75" s="69" t="s">
        <v>1504</v>
      </c>
      <c r="J75" s="68" t="s">
        <v>124</v>
      </c>
      <c r="K75" s="69" t="s">
        <v>124</v>
      </c>
      <c r="L75" s="69" t="s">
        <v>124</v>
      </c>
      <c r="M75" s="69"/>
      <c r="N75" s="69"/>
      <c r="O75" s="71" t="s">
        <v>1566</v>
      </c>
      <c r="P75" s="67"/>
      <c r="Q75" s="67"/>
      <c r="R75" s="14"/>
      <c r="S75" s="14"/>
      <c r="T75" s="25">
        <v>6</v>
      </c>
      <c r="U75" s="72">
        <v>0</v>
      </c>
      <c r="V75" s="69" t="s">
        <v>257</v>
      </c>
      <c r="W75" s="69"/>
      <c r="X75" s="69">
        <v>2014</v>
      </c>
      <c r="Y75" s="67"/>
      <c r="Z75" s="67"/>
      <c r="AA75" s="73" t="s">
        <v>168</v>
      </c>
      <c r="AB75" s="74" t="s">
        <v>1587</v>
      </c>
      <c r="AC75" s="79"/>
      <c r="AD75" s="74"/>
      <c r="AE75" s="77" t="s">
        <v>124</v>
      </c>
      <c r="AF75" s="77" t="s">
        <v>124</v>
      </c>
      <c r="AG75" s="74"/>
      <c r="AH75" s="74"/>
      <c r="AI75" s="74"/>
      <c r="AJ75" s="85"/>
      <c r="AK75" s="82" t="s">
        <v>1588</v>
      </c>
      <c r="AL75" s="82">
        <v>7</v>
      </c>
      <c r="AM75" s="82">
        <v>3</v>
      </c>
      <c r="AN75" s="82" t="s">
        <v>557</v>
      </c>
      <c r="AO75" s="82" t="s">
        <v>1589</v>
      </c>
      <c r="AP75" s="82" t="s">
        <v>1589</v>
      </c>
      <c r="AQ75" s="82">
        <v>65391</v>
      </c>
      <c r="AR75" s="82" t="s">
        <v>1590</v>
      </c>
      <c r="AS75" s="82"/>
      <c r="AT75" s="80" t="s">
        <v>1574</v>
      </c>
      <c r="AU75" s="80" t="s">
        <v>1575</v>
      </c>
      <c r="AV75" s="81" t="s">
        <v>1566</v>
      </c>
      <c r="AW75" s="85"/>
      <c r="AX75" s="85"/>
      <c r="AY75" s="85"/>
      <c r="AZ75" s="85"/>
      <c r="BA75" s="82"/>
      <c r="BB75" s="82"/>
      <c r="BC75" s="82"/>
      <c r="BD75" s="82"/>
      <c r="BE75" s="82" t="str">
        <f t="shared" si="17"/>
        <v>-</v>
      </c>
      <c r="BF75" s="86"/>
      <c r="BG75" s="86"/>
      <c r="BH75" s="82"/>
      <c r="BI75" s="82"/>
      <c r="BJ75" s="82"/>
      <c r="BK75" s="82"/>
      <c r="BL75" s="82"/>
      <c r="BM75" s="82"/>
      <c r="BN75" s="87"/>
      <c r="BO75" s="67" t="s">
        <v>1591</v>
      </c>
      <c r="BP75" s="82" t="s">
        <v>1592</v>
      </c>
      <c r="BQ75" s="82" t="s">
        <v>1590</v>
      </c>
      <c r="BR75" s="82"/>
      <c r="BS75" s="82"/>
      <c r="BT75" s="82"/>
      <c r="BV75" s="40"/>
      <c r="BW75" s="82"/>
      <c r="BX75" s="15">
        <f t="shared" si="16"/>
        <v>7</v>
      </c>
    </row>
    <row r="76" spans="1:76" s="88" customFormat="1" ht="18.75" customHeight="1" x14ac:dyDescent="0.3">
      <c r="A76" s="16">
        <v>69</v>
      </c>
      <c r="B76" s="67" t="s">
        <v>1593</v>
      </c>
      <c r="C76" s="68" t="s">
        <v>1594</v>
      </c>
      <c r="D76" s="69" t="s">
        <v>70</v>
      </c>
      <c r="E76" s="70"/>
      <c r="F76" s="70">
        <v>1</v>
      </c>
      <c r="G76" s="69" t="s">
        <v>124</v>
      </c>
      <c r="H76" s="69" t="s">
        <v>124</v>
      </c>
      <c r="I76" s="69" t="s">
        <v>1504</v>
      </c>
      <c r="J76" s="68" t="s">
        <v>124</v>
      </c>
      <c r="K76" s="69" t="s">
        <v>124</v>
      </c>
      <c r="L76" s="69" t="s">
        <v>124</v>
      </c>
      <c r="M76" s="69"/>
      <c r="N76" s="69"/>
      <c r="O76" s="71" t="s">
        <v>1566</v>
      </c>
      <c r="P76" s="67"/>
      <c r="Q76" s="67"/>
      <c r="R76" s="14"/>
      <c r="S76" s="14"/>
      <c r="T76" s="25">
        <v>6</v>
      </c>
      <c r="U76" s="72">
        <v>0</v>
      </c>
      <c r="V76" s="69" t="s">
        <v>257</v>
      </c>
      <c r="W76" s="69"/>
      <c r="X76" s="69">
        <v>2014</v>
      </c>
      <c r="Y76" s="67"/>
      <c r="Z76" s="67"/>
      <c r="AA76" s="73" t="s">
        <v>168</v>
      </c>
      <c r="AB76" s="89" t="s">
        <v>1595</v>
      </c>
      <c r="AC76" s="79"/>
      <c r="AD76" s="74"/>
      <c r="AE76" s="77" t="s">
        <v>124</v>
      </c>
      <c r="AF76" s="77" t="s">
        <v>124</v>
      </c>
      <c r="AG76" s="74"/>
      <c r="AH76" s="74"/>
      <c r="AI76" s="74"/>
      <c r="AJ76" s="85"/>
      <c r="AK76" s="82" t="s">
        <v>1596</v>
      </c>
      <c r="AL76" s="82">
        <v>3</v>
      </c>
      <c r="AM76" s="82">
        <v>1</v>
      </c>
      <c r="AN76" s="82" t="s">
        <v>1137</v>
      </c>
      <c r="AO76" s="82" t="s">
        <v>1137</v>
      </c>
      <c r="AP76" s="82" t="s">
        <v>1137</v>
      </c>
      <c r="AQ76" s="82">
        <v>65321</v>
      </c>
      <c r="AR76" s="82" t="s">
        <v>1597</v>
      </c>
      <c r="AS76" s="82"/>
      <c r="AT76" s="80" t="s">
        <v>1574</v>
      </c>
      <c r="AU76" s="80" t="s">
        <v>1575</v>
      </c>
      <c r="AV76" s="81" t="s">
        <v>1566</v>
      </c>
      <c r="AW76" s="85"/>
      <c r="AX76" s="85"/>
      <c r="AY76" s="85"/>
      <c r="AZ76" s="85"/>
      <c r="BA76" s="82"/>
      <c r="BB76" s="82"/>
      <c r="BC76" s="82"/>
      <c r="BD76" s="82"/>
      <c r="BE76" s="82" t="str">
        <f t="shared" si="17"/>
        <v>-</v>
      </c>
      <c r="BF76" s="86"/>
      <c r="BG76" s="86"/>
      <c r="BH76" s="82"/>
      <c r="BI76" s="82"/>
      <c r="BJ76" s="82"/>
      <c r="BK76" s="82"/>
      <c r="BL76" s="82"/>
      <c r="BM76" s="82"/>
      <c r="BN76" s="87"/>
      <c r="BO76" s="67" t="s">
        <v>1598</v>
      </c>
      <c r="BP76" s="82" t="s">
        <v>1599</v>
      </c>
      <c r="BQ76" s="82" t="s">
        <v>1597</v>
      </c>
      <c r="BR76" s="82"/>
      <c r="BS76" s="82"/>
      <c r="BT76" s="82"/>
      <c r="BV76" s="40"/>
      <c r="BW76" s="82"/>
      <c r="BX76" s="15">
        <f t="shared" si="16"/>
        <v>7</v>
      </c>
    </row>
    <row r="77" spans="1:76" s="88" customFormat="1" ht="18.75" customHeight="1" x14ac:dyDescent="0.3">
      <c r="A77" s="16">
        <v>70</v>
      </c>
      <c r="B77" s="67" t="s">
        <v>1600</v>
      </c>
      <c r="C77" s="68" t="s">
        <v>1601</v>
      </c>
      <c r="D77" s="69" t="s">
        <v>70</v>
      </c>
      <c r="E77" s="70"/>
      <c r="F77" s="70">
        <v>1</v>
      </c>
      <c r="G77" s="69" t="s">
        <v>124</v>
      </c>
      <c r="H77" s="69" t="s">
        <v>124</v>
      </c>
      <c r="I77" s="69" t="s">
        <v>1504</v>
      </c>
      <c r="J77" s="68" t="s">
        <v>124</v>
      </c>
      <c r="K77" s="69" t="s">
        <v>124</v>
      </c>
      <c r="L77" s="69" t="s">
        <v>124</v>
      </c>
      <c r="M77" s="69"/>
      <c r="N77" s="69"/>
      <c r="O77" s="71" t="s">
        <v>1602</v>
      </c>
      <c r="P77" s="67"/>
      <c r="Q77" s="67"/>
      <c r="R77" s="14"/>
      <c r="S77" s="14"/>
      <c r="T77" s="25">
        <v>5</v>
      </c>
      <c r="U77" s="72">
        <v>0</v>
      </c>
      <c r="V77" s="69" t="s">
        <v>257</v>
      </c>
      <c r="W77" s="69"/>
      <c r="X77" s="69">
        <v>2014</v>
      </c>
      <c r="Y77" s="67"/>
      <c r="Z77" s="67"/>
      <c r="AA77" s="73" t="s">
        <v>1603</v>
      </c>
      <c r="AB77" s="74" t="s">
        <v>124</v>
      </c>
      <c r="AC77" s="79"/>
      <c r="AD77" s="74"/>
      <c r="AE77" s="77" t="s">
        <v>124</v>
      </c>
      <c r="AF77" s="77" t="s">
        <v>124</v>
      </c>
      <c r="AG77" s="74"/>
      <c r="AH77" s="74"/>
      <c r="AI77" s="74"/>
      <c r="AJ77" s="85"/>
      <c r="AK77" s="82" t="s">
        <v>1604</v>
      </c>
      <c r="AL77" s="82">
        <v>1</v>
      </c>
      <c r="AM77" s="82">
        <v>1</v>
      </c>
      <c r="AN77" s="82" t="s">
        <v>439</v>
      </c>
      <c r="AO77" s="82" t="s">
        <v>439</v>
      </c>
      <c r="AP77" s="82" t="s">
        <v>814</v>
      </c>
      <c r="AQ77" s="82">
        <v>65317</v>
      </c>
      <c r="AR77" s="82" t="s">
        <v>1605</v>
      </c>
      <c r="AS77" s="82"/>
      <c r="AT77" s="80" t="s">
        <v>1606</v>
      </c>
      <c r="AU77" s="80" t="s">
        <v>1607</v>
      </c>
      <c r="AV77" s="81" t="s">
        <v>1602</v>
      </c>
      <c r="AW77" s="85"/>
      <c r="AX77" s="85"/>
      <c r="AY77" s="85"/>
      <c r="AZ77" s="85"/>
      <c r="BA77" s="82"/>
      <c r="BB77" s="82"/>
      <c r="BC77" s="82"/>
      <c r="BD77" s="82"/>
      <c r="BE77" s="82" t="str">
        <f t="shared" si="17"/>
        <v>-</v>
      </c>
      <c r="BF77" s="86"/>
      <c r="BG77" s="86"/>
      <c r="BH77" s="82"/>
      <c r="BI77" s="82"/>
      <c r="BJ77" s="82"/>
      <c r="BK77" s="82"/>
      <c r="BL77" s="82"/>
      <c r="BM77" s="82"/>
      <c r="BN77" s="87"/>
      <c r="BO77" s="67" t="s">
        <v>1608</v>
      </c>
      <c r="BP77" s="82" t="s">
        <v>1609</v>
      </c>
      <c r="BQ77" s="82" t="s">
        <v>1605</v>
      </c>
      <c r="BR77" s="82"/>
      <c r="BS77" s="82"/>
      <c r="BT77" s="82"/>
      <c r="BV77" s="40"/>
      <c r="BW77" s="82"/>
      <c r="BX77" s="15">
        <f t="shared" si="16"/>
        <v>6</v>
      </c>
    </row>
    <row r="78" spans="1:76" s="88" customFormat="1" ht="18.75" customHeight="1" x14ac:dyDescent="0.3">
      <c r="A78" s="16">
        <v>71</v>
      </c>
      <c r="B78" s="67" t="s">
        <v>1610</v>
      </c>
      <c r="C78" s="68" t="s">
        <v>1611</v>
      </c>
      <c r="D78" s="94" t="s">
        <v>69</v>
      </c>
      <c r="E78" s="95">
        <v>1</v>
      </c>
      <c r="F78" s="95"/>
      <c r="G78" s="69" t="s">
        <v>124</v>
      </c>
      <c r="H78" s="69" t="s">
        <v>124</v>
      </c>
      <c r="I78" s="69" t="s">
        <v>1504</v>
      </c>
      <c r="J78" s="68" t="s">
        <v>124</v>
      </c>
      <c r="K78" s="69" t="s">
        <v>124</v>
      </c>
      <c r="L78" s="69" t="s">
        <v>124</v>
      </c>
      <c r="M78" s="69"/>
      <c r="N78" s="69"/>
      <c r="O78" s="71" t="s">
        <v>1612</v>
      </c>
      <c r="P78" s="67"/>
      <c r="Q78" s="67"/>
      <c r="R78" s="14"/>
      <c r="S78" s="14"/>
      <c r="T78" s="25">
        <v>3</v>
      </c>
      <c r="U78" s="72">
        <v>0</v>
      </c>
      <c r="V78" s="69" t="s">
        <v>257</v>
      </c>
      <c r="W78" s="69"/>
      <c r="X78" s="69">
        <v>2014</v>
      </c>
      <c r="Y78" s="67"/>
      <c r="Z78" s="67"/>
      <c r="AA78" s="73" t="s">
        <v>229</v>
      </c>
      <c r="AB78" s="89" t="s">
        <v>1613</v>
      </c>
      <c r="AC78" s="79"/>
      <c r="AD78" s="74"/>
      <c r="AE78" s="77" t="s">
        <v>124</v>
      </c>
      <c r="AF78" s="77" t="s">
        <v>124</v>
      </c>
      <c r="AG78" s="74"/>
      <c r="AH78" s="74"/>
      <c r="AI78" s="74"/>
      <c r="AJ78" s="85"/>
      <c r="AK78" s="82" t="s">
        <v>1614</v>
      </c>
      <c r="AL78" s="82">
        <v>2</v>
      </c>
      <c r="AM78" s="82">
        <v>9</v>
      </c>
      <c r="AN78" s="82" t="s">
        <v>108</v>
      </c>
      <c r="AO78" s="82" t="s">
        <v>108</v>
      </c>
      <c r="AP78" s="82" t="s">
        <v>814</v>
      </c>
      <c r="AQ78" s="82">
        <v>65315</v>
      </c>
      <c r="AR78" s="82" t="s">
        <v>1615</v>
      </c>
      <c r="AS78" s="82"/>
      <c r="AT78" s="80" t="s">
        <v>1616</v>
      </c>
      <c r="AU78" s="80" t="s">
        <v>1617</v>
      </c>
      <c r="AV78" s="81" t="s">
        <v>1612</v>
      </c>
      <c r="AW78" s="85"/>
      <c r="AX78" s="85"/>
      <c r="AY78" s="85"/>
      <c r="AZ78" s="85"/>
      <c r="BA78" s="82"/>
      <c r="BB78" s="82"/>
      <c r="BC78" s="82"/>
      <c r="BD78" s="82"/>
      <c r="BE78" s="82" t="str">
        <f t="shared" si="17"/>
        <v>-</v>
      </c>
      <c r="BF78" s="86"/>
      <c r="BG78" s="86"/>
      <c r="BH78" s="82"/>
      <c r="BI78" s="82"/>
      <c r="BJ78" s="82"/>
      <c r="BK78" s="82"/>
      <c r="BL78" s="82"/>
      <c r="BM78" s="82"/>
      <c r="BN78" s="87"/>
      <c r="BO78" s="67" t="s">
        <v>1618</v>
      </c>
      <c r="BP78" s="82" t="s">
        <v>1619</v>
      </c>
      <c r="BQ78" s="82" t="s">
        <v>1615</v>
      </c>
      <c r="BR78" s="82"/>
      <c r="BS78" s="82"/>
      <c r="BT78" s="82"/>
      <c r="BV78" s="40"/>
      <c r="BW78" s="82"/>
      <c r="BX78" s="15">
        <f t="shared" si="16"/>
        <v>4</v>
      </c>
    </row>
    <row r="79" spans="1:76" s="88" customFormat="1" ht="18.75" customHeight="1" x14ac:dyDescent="0.3">
      <c r="A79" s="16">
        <v>72</v>
      </c>
      <c r="B79" s="67" t="s">
        <v>1620</v>
      </c>
      <c r="C79" s="73" t="s">
        <v>1621</v>
      </c>
      <c r="D79" s="94" t="s">
        <v>70</v>
      </c>
      <c r="E79" s="95"/>
      <c r="F79" s="95">
        <v>1</v>
      </c>
      <c r="G79" s="69" t="s">
        <v>124</v>
      </c>
      <c r="H79" s="69" t="s">
        <v>124</v>
      </c>
      <c r="I79" s="69" t="s">
        <v>1504</v>
      </c>
      <c r="J79" s="68" t="s">
        <v>124</v>
      </c>
      <c r="K79" s="69" t="s">
        <v>124</v>
      </c>
      <c r="L79" s="69" t="s">
        <v>124</v>
      </c>
      <c r="M79" s="69"/>
      <c r="N79" s="69"/>
      <c r="O79" s="71" t="s">
        <v>1612</v>
      </c>
      <c r="P79" s="67"/>
      <c r="Q79" s="67"/>
      <c r="R79" s="14"/>
      <c r="S79" s="14"/>
      <c r="T79" s="25">
        <v>3</v>
      </c>
      <c r="U79" s="72">
        <v>0</v>
      </c>
      <c r="V79" s="69" t="s">
        <v>257</v>
      </c>
      <c r="W79" s="69"/>
      <c r="X79" s="69">
        <v>2012</v>
      </c>
      <c r="Y79" s="67"/>
      <c r="Z79" s="67"/>
      <c r="AA79" s="73" t="s">
        <v>229</v>
      </c>
      <c r="AB79" s="89" t="s">
        <v>1622</v>
      </c>
      <c r="AC79" s="79"/>
      <c r="AD79" s="74"/>
      <c r="AE79" s="77" t="s">
        <v>124</v>
      </c>
      <c r="AF79" s="77" t="s">
        <v>124</v>
      </c>
      <c r="AG79" s="74"/>
      <c r="AH79" s="74"/>
      <c r="AI79" s="74"/>
      <c r="AJ79" s="85"/>
      <c r="AK79" s="82" t="s">
        <v>1623</v>
      </c>
      <c r="AL79" s="82"/>
      <c r="AM79" s="82">
        <v>1</v>
      </c>
      <c r="AN79" s="82" t="s">
        <v>235</v>
      </c>
      <c r="AO79" s="82" t="s">
        <v>235</v>
      </c>
      <c r="AP79" s="82" t="s">
        <v>814</v>
      </c>
      <c r="AQ79" s="82">
        <v>65314</v>
      </c>
      <c r="AR79" s="82" t="s">
        <v>1624</v>
      </c>
      <c r="AS79" s="82"/>
      <c r="AT79" s="80" t="s">
        <v>1616</v>
      </c>
      <c r="AU79" s="80" t="s">
        <v>1617</v>
      </c>
      <c r="AV79" s="81" t="s">
        <v>1612</v>
      </c>
      <c r="AW79" s="85"/>
      <c r="AX79" s="85"/>
      <c r="AY79" s="85"/>
      <c r="AZ79" s="85"/>
      <c r="BA79" s="82"/>
      <c r="BB79" s="82"/>
      <c r="BC79" s="82"/>
      <c r="BD79" s="82"/>
      <c r="BE79" s="82" t="str">
        <f t="shared" si="17"/>
        <v>-</v>
      </c>
      <c r="BF79" s="86"/>
      <c r="BG79" s="86"/>
      <c r="BH79" s="82"/>
      <c r="BI79" s="82"/>
      <c r="BJ79" s="82"/>
      <c r="BK79" s="82"/>
      <c r="BL79" s="82"/>
      <c r="BM79" s="82"/>
      <c r="BN79" s="87"/>
      <c r="BO79" s="67" t="s">
        <v>1625</v>
      </c>
      <c r="BP79" s="82" t="s">
        <v>1626</v>
      </c>
      <c r="BQ79" s="82" t="s">
        <v>1624</v>
      </c>
      <c r="BR79" s="82"/>
      <c r="BS79" s="82"/>
      <c r="BT79" s="82"/>
      <c r="BV79" s="40"/>
      <c r="BW79" s="82"/>
      <c r="BX79" s="15">
        <f t="shared" si="16"/>
        <v>4</v>
      </c>
    </row>
    <row r="80" spans="1:76" s="88" customFormat="1" ht="18.75" customHeight="1" x14ac:dyDescent="0.3">
      <c r="A80" s="16">
        <v>73</v>
      </c>
      <c r="B80" s="67" t="s">
        <v>1627</v>
      </c>
      <c r="C80" s="68" t="s">
        <v>1628</v>
      </c>
      <c r="D80" s="94" t="s">
        <v>69</v>
      </c>
      <c r="E80" s="95">
        <v>1</v>
      </c>
      <c r="F80" s="95"/>
      <c r="G80" s="69" t="s">
        <v>124</v>
      </c>
      <c r="H80" s="69" t="s">
        <v>124</v>
      </c>
      <c r="I80" s="69" t="s">
        <v>1504</v>
      </c>
      <c r="J80" s="68" t="s">
        <v>124</v>
      </c>
      <c r="K80" s="69" t="s">
        <v>124</v>
      </c>
      <c r="L80" s="69" t="s">
        <v>124</v>
      </c>
      <c r="M80" s="69"/>
      <c r="N80" s="69"/>
      <c r="O80" s="71" t="s">
        <v>1629</v>
      </c>
      <c r="P80" s="67"/>
      <c r="Q80" s="67"/>
      <c r="R80" s="14"/>
      <c r="S80" s="14"/>
      <c r="T80" s="25">
        <v>2</v>
      </c>
      <c r="U80" s="72">
        <v>10</v>
      </c>
      <c r="V80" s="69" t="s">
        <v>257</v>
      </c>
      <c r="W80" s="69"/>
      <c r="X80" s="69">
        <v>2015</v>
      </c>
      <c r="Y80" s="67"/>
      <c r="Z80" s="67"/>
      <c r="AA80" s="73" t="s">
        <v>168</v>
      </c>
      <c r="AB80" s="74" t="s">
        <v>124</v>
      </c>
      <c r="AC80" s="79"/>
      <c r="AD80" s="74"/>
      <c r="AE80" s="77" t="s">
        <v>124</v>
      </c>
      <c r="AF80" s="77" t="s">
        <v>124</v>
      </c>
      <c r="AG80" s="74"/>
      <c r="AH80" s="74"/>
      <c r="AI80" s="74"/>
      <c r="AJ80" s="85"/>
      <c r="AK80" s="82" t="s">
        <v>1630</v>
      </c>
      <c r="AL80" s="82">
        <v>1</v>
      </c>
      <c r="AM80" s="82">
        <v>7</v>
      </c>
      <c r="AN80" s="82" t="s">
        <v>108</v>
      </c>
      <c r="AO80" s="82" t="s">
        <v>108</v>
      </c>
      <c r="AP80" s="82" t="s">
        <v>814</v>
      </c>
      <c r="AQ80" s="82">
        <v>65315</v>
      </c>
      <c r="AR80" s="82" t="s">
        <v>1631</v>
      </c>
      <c r="AS80" s="82"/>
      <c r="AT80" s="80" t="s">
        <v>1632</v>
      </c>
      <c r="AU80" s="96" t="s">
        <v>892</v>
      </c>
      <c r="AV80" s="81" t="s">
        <v>1629</v>
      </c>
      <c r="AW80" s="85"/>
      <c r="AX80" s="85"/>
      <c r="AY80" s="85"/>
      <c r="AZ80" s="85"/>
      <c r="BA80" s="82"/>
      <c r="BB80" s="82"/>
      <c r="BC80" s="82"/>
      <c r="BD80" s="82"/>
      <c r="BE80" s="82" t="str">
        <f t="shared" si="17"/>
        <v>-</v>
      </c>
      <c r="BF80" s="86"/>
      <c r="BG80" s="86"/>
      <c r="BH80" s="82"/>
      <c r="BI80" s="82"/>
      <c r="BJ80" s="82"/>
      <c r="BK80" s="82"/>
      <c r="BL80" s="82"/>
      <c r="BM80" s="82"/>
      <c r="BN80" s="87"/>
      <c r="BO80" s="67" t="s">
        <v>1633</v>
      </c>
      <c r="BP80" s="82" t="s">
        <v>1634</v>
      </c>
      <c r="BQ80" s="82" t="s">
        <v>1631</v>
      </c>
      <c r="BR80" s="82"/>
      <c r="BS80" s="82"/>
      <c r="BT80" s="82"/>
      <c r="BV80" s="40"/>
      <c r="BW80" s="82"/>
      <c r="BX80" s="15">
        <f t="shared" si="16"/>
        <v>3</v>
      </c>
    </row>
    <row r="81" spans="1:76" s="88" customFormat="1" ht="18.75" customHeight="1" x14ac:dyDescent="0.3">
      <c r="A81" s="16">
        <v>74</v>
      </c>
      <c r="B81" s="67" t="s">
        <v>1635</v>
      </c>
      <c r="C81" s="68" t="s">
        <v>1636</v>
      </c>
      <c r="D81" s="94" t="s">
        <v>70</v>
      </c>
      <c r="E81" s="95"/>
      <c r="F81" s="95">
        <v>1</v>
      </c>
      <c r="G81" s="69" t="s">
        <v>124</v>
      </c>
      <c r="H81" s="69" t="s">
        <v>124</v>
      </c>
      <c r="I81" s="69" t="s">
        <v>1504</v>
      </c>
      <c r="J81" s="68" t="s">
        <v>124</v>
      </c>
      <c r="K81" s="69" t="s">
        <v>124</v>
      </c>
      <c r="L81" s="69" t="s">
        <v>124</v>
      </c>
      <c r="M81" s="69"/>
      <c r="N81" s="69"/>
      <c r="O81" s="71" t="s">
        <v>1637</v>
      </c>
      <c r="P81" s="67"/>
      <c r="Q81" s="67"/>
      <c r="R81" s="14"/>
      <c r="S81" s="14"/>
      <c r="T81" s="25">
        <v>0</v>
      </c>
      <c r="U81" s="25">
        <v>6</v>
      </c>
      <c r="V81" s="69" t="s">
        <v>257</v>
      </c>
      <c r="W81" s="69" t="s">
        <v>1603</v>
      </c>
      <c r="X81" s="69">
        <v>2019</v>
      </c>
      <c r="Y81" s="67"/>
      <c r="Z81" s="67"/>
      <c r="AA81" s="73" t="s">
        <v>1638</v>
      </c>
      <c r="AB81" s="74" t="s">
        <v>124</v>
      </c>
      <c r="AC81" s="79"/>
      <c r="AD81" s="74"/>
      <c r="AE81" s="77" t="s">
        <v>124</v>
      </c>
      <c r="AF81" s="77" t="s">
        <v>124</v>
      </c>
      <c r="AG81" s="74"/>
      <c r="AH81" s="74"/>
      <c r="AI81" s="74"/>
      <c r="AJ81" s="85"/>
      <c r="AK81" s="82" t="s">
        <v>1639</v>
      </c>
      <c r="AL81" s="82">
        <v>39</v>
      </c>
      <c r="AM81" s="82">
        <v>6</v>
      </c>
      <c r="AN81" s="82" t="s">
        <v>557</v>
      </c>
      <c r="AO81" s="82" t="s">
        <v>882</v>
      </c>
      <c r="AP81" s="82" t="s">
        <v>514</v>
      </c>
      <c r="AQ81" s="82">
        <v>65333</v>
      </c>
      <c r="AR81" s="82" t="s">
        <v>1640</v>
      </c>
      <c r="AS81" s="97" t="s">
        <v>1641</v>
      </c>
      <c r="AT81" s="80" t="s">
        <v>1642</v>
      </c>
      <c r="AU81" s="98" t="s">
        <v>1643</v>
      </c>
      <c r="AV81" s="99">
        <v>43862</v>
      </c>
      <c r="AW81" s="85"/>
      <c r="AX81" s="85"/>
      <c r="AY81" s="85"/>
      <c r="AZ81" s="85"/>
      <c r="BA81" s="82"/>
      <c r="BB81" s="82"/>
      <c r="BC81" s="82"/>
      <c r="BD81" s="82"/>
      <c r="BE81" s="82"/>
      <c r="BF81" s="86"/>
      <c r="BG81" s="86"/>
      <c r="BH81" s="82"/>
      <c r="BI81" s="82"/>
      <c r="BJ81" s="82"/>
      <c r="BK81" s="82"/>
      <c r="BL81" s="82"/>
      <c r="BM81" s="82"/>
      <c r="BN81" s="87"/>
      <c r="BO81" s="67" t="s">
        <v>1644</v>
      </c>
      <c r="BP81" s="82" t="s">
        <v>1645</v>
      </c>
      <c r="BQ81" s="82" t="s">
        <v>1640</v>
      </c>
      <c r="BR81" s="82"/>
      <c r="BS81" s="82"/>
      <c r="BT81" s="82"/>
      <c r="BV81" s="40"/>
      <c r="BW81" s="82"/>
      <c r="BX81" s="15">
        <f t="shared" si="16"/>
        <v>1</v>
      </c>
    </row>
    <row r="82" spans="1:76" ht="18.75" customHeight="1" x14ac:dyDescent="0.25">
      <c r="A82" s="16">
        <v>75</v>
      </c>
      <c r="B82" s="82" t="s">
        <v>1646</v>
      </c>
      <c r="C82" s="82" t="s">
        <v>1647</v>
      </c>
      <c r="D82" s="94" t="s">
        <v>69</v>
      </c>
      <c r="E82" s="95">
        <v>1</v>
      </c>
      <c r="F82" s="95"/>
      <c r="G82" s="69" t="s">
        <v>124</v>
      </c>
      <c r="H82" s="69" t="s">
        <v>124</v>
      </c>
      <c r="I82" s="69" t="s">
        <v>1504</v>
      </c>
      <c r="J82" s="68" t="s">
        <v>124</v>
      </c>
      <c r="K82" s="69" t="s">
        <v>124</v>
      </c>
      <c r="L82" s="69" t="s">
        <v>124</v>
      </c>
      <c r="M82" s="69"/>
      <c r="N82" s="69"/>
      <c r="O82" s="71" t="s">
        <v>1648</v>
      </c>
      <c r="P82" s="67"/>
      <c r="Q82" s="67"/>
      <c r="R82" s="14"/>
      <c r="S82" s="14"/>
      <c r="T82" s="25">
        <v>0</v>
      </c>
      <c r="U82" s="25">
        <v>0</v>
      </c>
      <c r="V82" s="69" t="s">
        <v>257</v>
      </c>
      <c r="W82" s="69" t="s">
        <v>1649</v>
      </c>
      <c r="X82" s="69">
        <v>2015</v>
      </c>
      <c r="Y82" s="67"/>
      <c r="Z82" s="67"/>
      <c r="AA82" s="73" t="s">
        <v>1650</v>
      </c>
      <c r="AB82" s="74" t="s">
        <v>124</v>
      </c>
      <c r="AC82" s="79"/>
      <c r="AD82" s="74"/>
      <c r="AE82" s="77" t="s">
        <v>124</v>
      </c>
      <c r="AF82" s="77" t="s">
        <v>124</v>
      </c>
      <c r="AG82" s="74"/>
      <c r="AH82" s="74"/>
      <c r="AI82" s="74"/>
      <c r="AJ82" s="85"/>
      <c r="AK82" s="82" t="s">
        <v>1651</v>
      </c>
      <c r="AL82" s="82">
        <v>2</v>
      </c>
      <c r="AM82" s="82">
        <v>3</v>
      </c>
      <c r="AN82" s="82" t="s">
        <v>1652</v>
      </c>
      <c r="AO82" s="82" t="s">
        <v>1653</v>
      </c>
      <c r="AP82" s="82" t="s">
        <v>1654</v>
      </c>
      <c r="AQ82" s="82"/>
      <c r="AR82" s="82" t="s">
        <v>1655</v>
      </c>
      <c r="AS82" s="97"/>
      <c r="AT82" s="98" t="s">
        <v>1656</v>
      </c>
      <c r="AU82" s="100" t="s">
        <v>1657</v>
      </c>
      <c r="AV82" s="101" t="s">
        <v>1657</v>
      </c>
      <c r="AW82" s="85"/>
      <c r="AX82" s="85"/>
      <c r="AY82" s="85"/>
      <c r="AZ82" s="85"/>
      <c r="BA82" s="82"/>
      <c r="BB82" s="82"/>
      <c r="BC82" s="82"/>
      <c r="BD82" s="82"/>
      <c r="BE82" s="82"/>
      <c r="BF82" s="86"/>
      <c r="BG82" s="86"/>
      <c r="BH82" s="82"/>
      <c r="BI82" s="82"/>
      <c r="BJ82" s="82"/>
      <c r="BK82" s="82"/>
      <c r="BL82" s="82"/>
      <c r="BM82" s="82"/>
      <c r="BN82" s="87"/>
      <c r="BO82" s="67"/>
      <c r="BP82" s="82"/>
      <c r="BQ82" s="82"/>
      <c r="BR82" s="82"/>
      <c r="BS82" s="82"/>
      <c r="BT82" s="82"/>
      <c r="BU82" s="88"/>
      <c r="BV82" s="40"/>
      <c r="BW82" s="82"/>
      <c r="BX82" s="15">
        <f t="shared" si="16"/>
        <v>1</v>
      </c>
    </row>
    <row r="83" spans="1:76" ht="18.75" customHeight="1" x14ac:dyDescent="0.25">
      <c r="A83" s="16"/>
      <c r="B83" s="82"/>
      <c r="C83" s="82"/>
      <c r="D83" s="94"/>
      <c r="E83" s="95"/>
      <c r="F83" s="95"/>
      <c r="G83" s="69"/>
      <c r="H83" s="69"/>
      <c r="I83" s="69"/>
      <c r="J83" s="68"/>
      <c r="K83" s="69"/>
      <c r="L83" s="69"/>
      <c r="M83" s="69"/>
      <c r="N83" s="69"/>
      <c r="O83" s="71"/>
      <c r="P83" s="67"/>
      <c r="Q83" s="67"/>
      <c r="R83" s="14"/>
      <c r="S83" s="14"/>
      <c r="T83" s="25"/>
      <c r="U83" s="25"/>
      <c r="V83" s="69"/>
      <c r="W83" s="69"/>
      <c r="X83" s="69"/>
      <c r="Y83" s="67"/>
      <c r="Z83" s="67"/>
      <c r="AA83" s="73"/>
      <c r="AB83" s="74"/>
      <c r="AC83" s="79"/>
      <c r="AD83" s="74"/>
      <c r="AE83" s="77"/>
      <c r="AF83" s="77"/>
      <c r="AG83" s="74"/>
      <c r="AH83" s="74"/>
      <c r="AI83" s="74"/>
      <c r="AJ83" s="85"/>
      <c r="AK83" s="82"/>
      <c r="AL83" s="82"/>
      <c r="AM83" s="82"/>
      <c r="AN83" s="82"/>
      <c r="AO83" s="82"/>
      <c r="AP83" s="82"/>
      <c r="AQ83" s="82"/>
      <c r="AR83" s="82"/>
      <c r="AS83" s="97"/>
      <c r="AT83" s="98"/>
      <c r="AU83" s="100"/>
      <c r="AV83" s="101"/>
      <c r="AW83" s="85"/>
      <c r="AX83" s="85"/>
      <c r="AY83" s="85"/>
      <c r="AZ83" s="85"/>
      <c r="BA83" s="82"/>
      <c r="BB83" s="82"/>
      <c r="BC83" s="82"/>
      <c r="BD83" s="82"/>
      <c r="BE83" s="82"/>
      <c r="BF83" s="86"/>
      <c r="BG83" s="86"/>
      <c r="BH83" s="82"/>
      <c r="BI83" s="82"/>
      <c r="BJ83" s="82"/>
      <c r="BK83" s="82"/>
      <c r="BL83" s="82"/>
      <c r="BM83" s="82"/>
      <c r="BN83" s="87"/>
      <c r="BO83" s="67"/>
      <c r="BP83" s="82"/>
      <c r="BQ83" s="82"/>
      <c r="BR83" s="82"/>
      <c r="BS83" s="82"/>
      <c r="BT83" s="82"/>
      <c r="BU83" s="88"/>
      <c r="BV83" s="40"/>
      <c r="BW83" s="82"/>
      <c r="BX83" s="15"/>
    </row>
    <row r="84" spans="1:76" s="106" customFormat="1" ht="20.25" customHeight="1" x14ac:dyDescent="0.25">
      <c r="A84" s="24"/>
      <c r="B84" s="14"/>
      <c r="C84" s="102"/>
      <c r="D84" s="24"/>
      <c r="E84" s="103"/>
      <c r="F84" s="103"/>
      <c r="G84" s="104"/>
      <c r="H84" s="104"/>
      <c r="I84" s="105"/>
      <c r="T84" s="107"/>
      <c r="U84" s="108"/>
      <c r="V84" s="24"/>
      <c r="X84" s="24"/>
      <c r="Y84" s="14"/>
      <c r="Z84" s="14"/>
      <c r="AA84" s="109"/>
      <c r="AB84" s="110"/>
      <c r="AC84" s="110"/>
      <c r="AD84" s="111"/>
      <c r="AE84" s="111"/>
      <c r="AF84" s="112"/>
      <c r="AG84" s="110"/>
      <c r="AH84" s="110"/>
      <c r="AI84" s="110"/>
      <c r="AJ84" s="110"/>
      <c r="AT84" s="110"/>
      <c r="AU84" s="110"/>
      <c r="AV84" s="110"/>
      <c r="AW84" s="110"/>
      <c r="AX84" s="110"/>
      <c r="AY84" s="110"/>
      <c r="AZ84" s="110"/>
      <c r="BE84" s="40">
        <f>J84</f>
        <v>0</v>
      </c>
      <c r="BF84" s="113"/>
      <c r="BG84" s="113"/>
      <c r="BO84" s="40"/>
      <c r="BP84" s="40"/>
      <c r="BQ84" s="40"/>
      <c r="BR84" s="40"/>
      <c r="BS84" s="40"/>
      <c r="BT84" s="40"/>
      <c r="BV84" s="40"/>
      <c r="BW84" s="40"/>
      <c r="BX84" s="15"/>
    </row>
    <row r="85" spans="1:76" ht="18.75" customHeight="1" x14ac:dyDescent="0.3">
      <c r="A85" s="16">
        <v>1</v>
      </c>
      <c r="B85" s="13" t="s">
        <v>1658</v>
      </c>
      <c r="C85" s="17" t="s">
        <v>1659</v>
      </c>
      <c r="D85" s="16" t="s">
        <v>70</v>
      </c>
      <c r="E85" s="19"/>
      <c r="F85" s="19">
        <v>1</v>
      </c>
      <c r="G85" s="16" t="s">
        <v>1660</v>
      </c>
      <c r="H85" s="16" t="s">
        <v>1661</v>
      </c>
      <c r="I85" s="16" t="s">
        <v>82</v>
      </c>
      <c r="J85" s="16" t="s">
        <v>697</v>
      </c>
      <c r="K85" s="16" t="s">
        <v>698</v>
      </c>
      <c r="L85" s="114" t="s">
        <v>875</v>
      </c>
      <c r="M85" s="114"/>
      <c r="N85" s="114"/>
      <c r="O85" s="114" t="s">
        <v>805</v>
      </c>
      <c r="P85" s="33">
        <v>0</v>
      </c>
      <c r="Q85" s="33">
        <v>0</v>
      </c>
      <c r="R85" s="40">
        <v>14</v>
      </c>
      <c r="S85" s="115">
        <v>6</v>
      </c>
      <c r="T85" s="116">
        <v>15</v>
      </c>
      <c r="U85" s="117">
        <v>6</v>
      </c>
      <c r="V85" s="16" t="s">
        <v>257</v>
      </c>
      <c r="W85" s="16"/>
      <c r="X85" s="16">
        <v>2004</v>
      </c>
      <c r="Y85" s="33"/>
      <c r="Z85" s="33"/>
      <c r="AA85" s="118" t="s">
        <v>1662</v>
      </c>
      <c r="AB85" s="30" t="s">
        <v>1663</v>
      </c>
      <c r="AC85" s="31"/>
      <c r="AD85" s="30"/>
      <c r="AE85" s="30" t="s">
        <v>1664</v>
      </c>
      <c r="AF85" s="30">
        <v>2039</v>
      </c>
      <c r="AG85" s="119" t="s">
        <v>124</v>
      </c>
      <c r="AH85" s="119" t="s">
        <v>124</v>
      </c>
      <c r="AI85" s="119" t="s">
        <v>124</v>
      </c>
      <c r="AJ85" s="31" t="s">
        <v>88</v>
      </c>
      <c r="AK85" s="120" t="s">
        <v>1665</v>
      </c>
      <c r="AL85" s="33">
        <v>9</v>
      </c>
      <c r="AM85" s="33">
        <v>10</v>
      </c>
      <c r="AN85" s="33" t="s">
        <v>108</v>
      </c>
      <c r="AO85" s="33" t="s">
        <v>108</v>
      </c>
      <c r="AP85" s="33" t="s">
        <v>814</v>
      </c>
      <c r="AQ85" s="33">
        <v>65315</v>
      </c>
      <c r="AR85" s="33" t="s">
        <v>1666</v>
      </c>
      <c r="AS85" s="33"/>
      <c r="AT85" s="121" t="s">
        <v>1667</v>
      </c>
      <c r="AU85" s="121" t="s">
        <v>818</v>
      </c>
      <c r="AV85" s="121" t="s">
        <v>805</v>
      </c>
      <c r="AW85" s="31" t="s">
        <v>1668</v>
      </c>
      <c r="AX85" s="37" t="s">
        <v>865</v>
      </c>
      <c r="AY85" s="31" t="s">
        <v>481</v>
      </c>
      <c r="AZ85" s="31"/>
      <c r="BA85" s="114" t="s">
        <v>891</v>
      </c>
      <c r="BB85" s="114" t="s">
        <v>892</v>
      </c>
      <c r="BC85" s="114" t="s">
        <v>875</v>
      </c>
      <c r="BD85" s="33" t="s">
        <v>121</v>
      </c>
      <c r="BE85" s="40" t="str">
        <f t="shared" ref="BE85:BE95" si="18">K85</f>
        <v>III/d</v>
      </c>
      <c r="BF85" s="114"/>
      <c r="BG85" s="114"/>
      <c r="BH85" s="33"/>
      <c r="BI85" s="33"/>
      <c r="BJ85" s="33"/>
      <c r="BK85" s="33"/>
      <c r="BL85" s="33"/>
      <c r="BM85" s="33"/>
      <c r="BN85" s="42"/>
      <c r="BO85" s="33" t="s">
        <v>1669</v>
      </c>
      <c r="BP85" s="43" t="s">
        <v>1670</v>
      </c>
      <c r="BQ85" s="33" t="s">
        <v>1666</v>
      </c>
      <c r="BR85" s="33"/>
      <c r="BS85" s="33"/>
      <c r="BT85" s="33"/>
      <c r="BV85" s="14">
        <f t="shared" ref="BV85:BV95" si="19">R85+1</f>
        <v>15</v>
      </c>
      <c r="BW85" s="33"/>
      <c r="BX85" s="15">
        <f t="shared" ref="BX85:BX115" si="20">T85+1</f>
        <v>16</v>
      </c>
    </row>
    <row r="86" spans="1:76" ht="18.75" customHeight="1" x14ac:dyDescent="0.3">
      <c r="A86" s="16">
        <v>2</v>
      </c>
      <c r="B86" s="13" t="s">
        <v>1671</v>
      </c>
      <c r="C86" s="17" t="s">
        <v>1672</v>
      </c>
      <c r="D86" s="16" t="s">
        <v>70</v>
      </c>
      <c r="E86" s="19"/>
      <c r="F86" s="19">
        <v>1</v>
      </c>
      <c r="G86" s="16" t="s">
        <v>1673</v>
      </c>
      <c r="H86" s="16" t="s">
        <v>1674</v>
      </c>
      <c r="I86" s="16" t="s">
        <v>82</v>
      </c>
      <c r="J86" s="16" t="s">
        <v>1337</v>
      </c>
      <c r="K86" s="16" t="s">
        <v>1383</v>
      </c>
      <c r="L86" s="114" t="s">
        <v>852</v>
      </c>
      <c r="M86" s="114"/>
      <c r="N86" s="114"/>
      <c r="O86" s="114" t="s">
        <v>1130</v>
      </c>
      <c r="P86" s="33">
        <v>6</v>
      </c>
      <c r="Q86" s="33">
        <v>0</v>
      </c>
      <c r="R86" s="40">
        <v>12</v>
      </c>
      <c r="S86" s="115">
        <v>6</v>
      </c>
      <c r="T86" s="116">
        <v>18</v>
      </c>
      <c r="U86" s="117">
        <v>6</v>
      </c>
      <c r="V86" s="16" t="s">
        <v>1675</v>
      </c>
      <c r="W86" s="16"/>
      <c r="X86" s="16">
        <v>1992</v>
      </c>
      <c r="Y86" s="33"/>
      <c r="Z86" s="33"/>
      <c r="AA86" s="118" t="s">
        <v>1676</v>
      </c>
      <c r="AB86" s="30" t="s">
        <v>1677</v>
      </c>
      <c r="AC86" s="31"/>
      <c r="AD86" s="30"/>
      <c r="AE86" s="30" t="s">
        <v>1678</v>
      </c>
      <c r="AF86" s="30">
        <v>2022</v>
      </c>
      <c r="AG86" s="119" t="s">
        <v>124</v>
      </c>
      <c r="AH86" s="119" t="s">
        <v>124</v>
      </c>
      <c r="AI86" s="119" t="s">
        <v>124</v>
      </c>
      <c r="AJ86" s="31" t="s">
        <v>88</v>
      </c>
      <c r="AK86" s="120" t="s">
        <v>1679</v>
      </c>
      <c r="AL86" s="33">
        <v>8</v>
      </c>
      <c r="AM86" s="33">
        <v>9</v>
      </c>
      <c r="AN86" s="33" t="s">
        <v>108</v>
      </c>
      <c r="AO86" s="33" t="s">
        <v>108</v>
      </c>
      <c r="AP86" s="33" t="s">
        <v>814</v>
      </c>
      <c r="AQ86" s="33">
        <v>65315</v>
      </c>
      <c r="AR86" s="33" t="s">
        <v>1680</v>
      </c>
      <c r="AS86" s="33"/>
      <c r="AT86" s="121" t="s">
        <v>1681</v>
      </c>
      <c r="AU86" s="121" t="s">
        <v>1682</v>
      </c>
      <c r="AV86" s="121" t="s">
        <v>1130</v>
      </c>
      <c r="AW86" s="31" t="s">
        <v>1683</v>
      </c>
      <c r="AX86" s="31" t="s">
        <v>1684</v>
      </c>
      <c r="AY86" s="31" t="s">
        <v>1685</v>
      </c>
      <c r="AZ86" s="31"/>
      <c r="BA86" s="114" t="s">
        <v>945</v>
      </c>
      <c r="BB86" s="114" t="s">
        <v>946</v>
      </c>
      <c r="BC86" s="114" t="s">
        <v>852</v>
      </c>
      <c r="BD86" s="33" t="s">
        <v>121</v>
      </c>
      <c r="BE86" s="40" t="str">
        <f t="shared" si="18"/>
        <v>III/a</v>
      </c>
      <c r="BF86" s="114"/>
      <c r="BG86" s="114"/>
      <c r="BH86" s="33"/>
      <c r="BI86" s="33"/>
      <c r="BJ86" s="33"/>
      <c r="BK86" s="33"/>
      <c r="BL86" s="33"/>
      <c r="BM86" s="33"/>
      <c r="BN86" s="42"/>
      <c r="BO86" s="33" t="s">
        <v>1686</v>
      </c>
      <c r="BP86" s="43" t="s">
        <v>1687</v>
      </c>
      <c r="BQ86" s="33" t="s">
        <v>1680</v>
      </c>
      <c r="BR86" s="33"/>
      <c r="BS86" s="33"/>
      <c r="BT86" s="33"/>
      <c r="BV86" s="14">
        <f t="shared" si="19"/>
        <v>13</v>
      </c>
      <c r="BW86" s="33"/>
      <c r="BX86" s="15">
        <f t="shared" si="20"/>
        <v>19</v>
      </c>
    </row>
    <row r="87" spans="1:76" ht="18.75" customHeight="1" x14ac:dyDescent="0.3">
      <c r="A87" s="16">
        <v>3</v>
      </c>
      <c r="B87" s="13" t="s">
        <v>1688</v>
      </c>
      <c r="C87" s="17" t="s">
        <v>1689</v>
      </c>
      <c r="D87" s="16" t="s">
        <v>70</v>
      </c>
      <c r="E87" s="19"/>
      <c r="F87" s="19">
        <v>1</v>
      </c>
      <c r="G87" s="16" t="s">
        <v>1690</v>
      </c>
      <c r="H87" s="16" t="s">
        <v>1691</v>
      </c>
      <c r="I87" s="16" t="s">
        <v>82</v>
      </c>
      <c r="J87" s="16" t="s">
        <v>1337</v>
      </c>
      <c r="K87" s="16" t="s">
        <v>1383</v>
      </c>
      <c r="L87" s="114" t="s">
        <v>1278</v>
      </c>
      <c r="M87" s="114"/>
      <c r="N87" s="114"/>
      <c r="O87" s="114" t="s">
        <v>1144</v>
      </c>
      <c r="P87" s="33">
        <v>8</v>
      </c>
      <c r="Q87" s="33">
        <v>0</v>
      </c>
      <c r="R87" s="40">
        <v>11</v>
      </c>
      <c r="S87" s="115">
        <v>3</v>
      </c>
      <c r="T87" s="116">
        <v>18</v>
      </c>
      <c r="U87" s="117">
        <v>6</v>
      </c>
      <c r="V87" s="16" t="s">
        <v>1675</v>
      </c>
      <c r="W87" s="16"/>
      <c r="X87" s="16">
        <v>1992</v>
      </c>
      <c r="Y87" s="33"/>
      <c r="Z87" s="33"/>
      <c r="AA87" s="118" t="s">
        <v>1692</v>
      </c>
      <c r="AB87" s="30" t="s">
        <v>1693</v>
      </c>
      <c r="AC87" s="31"/>
      <c r="AD87" s="30"/>
      <c r="AE87" s="30" t="s">
        <v>1694</v>
      </c>
      <c r="AF87" s="30">
        <v>2026</v>
      </c>
      <c r="AG87" s="119" t="s">
        <v>124</v>
      </c>
      <c r="AH87" s="119" t="s">
        <v>124</v>
      </c>
      <c r="AI87" s="119" t="s">
        <v>124</v>
      </c>
      <c r="AJ87" s="31" t="s">
        <v>88</v>
      </c>
      <c r="AK87" s="120" t="s">
        <v>1695</v>
      </c>
      <c r="AL87" s="33">
        <v>2</v>
      </c>
      <c r="AM87" s="33">
        <v>7</v>
      </c>
      <c r="AN87" s="33" t="s">
        <v>812</v>
      </c>
      <c r="AO87" s="33" t="s">
        <v>812</v>
      </c>
      <c r="AP87" s="33" t="s">
        <v>814</v>
      </c>
      <c r="AQ87" s="33">
        <v>65316</v>
      </c>
      <c r="AR87" s="33" t="s">
        <v>1696</v>
      </c>
      <c r="AS87" s="33"/>
      <c r="AT87" s="121" t="s">
        <v>1697</v>
      </c>
      <c r="AU87" s="121" t="s">
        <v>1698</v>
      </c>
      <c r="AV87" s="121" t="s">
        <v>1144</v>
      </c>
      <c r="AW87" s="31" t="s">
        <v>1699</v>
      </c>
      <c r="AX87" s="31" t="s">
        <v>1266</v>
      </c>
      <c r="AY87" s="31" t="s">
        <v>1338</v>
      </c>
      <c r="AZ87" s="31"/>
      <c r="BA87" s="114" t="s">
        <v>1700</v>
      </c>
      <c r="BB87" s="114" t="s">
        <v>1701</v>
      </c>
      <c r="BC87" s="114" t="s">
        <v>1278</v>
      </c>
      <c r="BD87" s="33" t="s">
        <v>893</v>
      </c>
      <c r="BE87" s="40" t="str">
        <f t="shared" si="18"/>
        <v>III/a</v>
      </c>
      <c r="BF87" s="114"/>
      <c r="BG87" s="114"/>
      <c r="BH87" s="33"/>
      <c r="BI87" s="33"/>
      <c r="BJ87" s="33"/>
      <c r="BK87" s="33"/>
      <c r="BL87" s="33"/>
      <c r="BM87" s="33"/>
      <c r="BN87" s="42"/>
      <c r="BO87" s="33" t="s">
        <v>1702</v>
      </c>
      <c r="BP87" s="43" t="s">
        <v>1703</v>
      </c>
      <c r="BQ87" s="33" t="s">
        <v>1696</v>
      </c>
      <c r="BR87" s="33"/>
      <c r="BS87" s="33"/>
      <c r="BT87" s="33"/>
      <c r="BV87" s="14">
        <f t="shared" si="19"/>
        <v>12</v>
      </c>
      <c r="BW87" s="33"/>
      <c r="BX87" s="15">
        <f t="shared" si="20"/>
        <v>19</v>
      </c>
    </row>
    <row r="88" spans="1:76" ht="18.75" customHeight="1" x14ac:dyDescent="0.3">
      <c r="A88" s="16">
        <v>4</v>
      </c>
      <c r="B88" s="13" t="s">
        <v>1704</v>
      </c>
      <c r="C88" s="17" t="s">
        <v>1705</v>
      </c>
      <c r="D88" s="16" t="s">
        <v>69</v>
      </c>
      <c r="E88" s="19">
        <v>1</v>
      </c>
      <c r="F88" s="19"/>
      <c r="G88" s="16" t="s">
        <v>1706</v>
      </c>
      <c r="H88" s="16" t="s">
        <v>1707</v>
      </c>
      <c r="I88" s="16" t="s">
        <v>82</v>
      </c>
      <c r="J88" s="16" t="s">
        <v>1708</v>
      </c>
      <c r="K88" s="16" t="s">
        <v>1709</v>
      </c>
      <c r="L88" s="114" t="s">
        <v>1278</v>
      </c>
      <c r="M88" s="114"/>
      <c r="N88" s="114"/>
      <c r="O88" s="114" t="s">
        <v>287</v>
      </c>
      <c r="P88" s="33">
        <v>0</v>
      </c>
      <c r="Q88" s="33">
        <v>0</v>
      </c>
      <c r="R88" s="40">
        <v>13</v>
      </c>
      <c r="S88" s="115">
        <v>3</v>
      </c>
      <c r="T88" s="116">
        <v>14</v>
      </c>
      <c r="U88" s="117">
        <v>3</v>
      </c>
      <c r="V88" s="16" t="s">
        <v>257</v>
      </c>
      <c r="W88" s="16"/>
      <c r="X88" s="16">
        <v>2013</v>
      </c>
      <c r="Y88" s="33"/>
      <c r="Z88" s="33"/>
      <c r="AA88" s="118" t="s">
        <v>1710</v>
      </c>
      <c r="AB88" s="30" t="s">
        <v>1711</v>
      </c>
      <c r="AC88" s="31"/>
      <c r="AD88" s="30"/>
      <c r="AE88" s="30" t="s">
        <v>1712</v>
      </c>
      <c r="AF88" s="30">
        <v>2043</v>
      </c>
      <c r="AG88" s="119" t="s">
        <v>124</v>
      </c>
      <c r="AH88" s="119" t="s">
        <v>124</v>
      </c>
      <c r="AI88" s="119" t="s">
        <v>124</v>
      </c>
      <c r="AJ88" s="31" t="s">
        <v>88</v>
      </c>
      <c r="AK88" s="120" t="s">
        <v>1713</v>
      </c>
      <c r="AL88" s="33">
        <v>4</v>
      </c>
      <c r="AM88" s="33">
        <v>11</v>
      </c>
      <c r="AN88" s="33" t="s">
        <v>108</v>
      </c>
      <c r="AO88" s="33" t="s">
        <v>108</v>
      </c>
      <c r="AP88" s="33" t="s">
        <v>814</v>
      </c>
      <c r="AQ88" s="33">
        <v>65315</v>
      </c>
      <c r="AR88" s="33" t="s">
        <v>1714</v>
      </c>
      <c r="AS88" s="33"/>
      <c r="AT88" s="121" t="s">
        <v>1715</v>
      </c>
      <c r="AU88" s="121" t="s">
        <v>970</v>
      </c>
      <c r="AV88" s="121" t="s">
        <v>287</v>
      </c>
      <c r="AW88" s="31" t="s">
        <v>1716</v>
      </c>
      <c r="AX88" s="31" t="s">
        <v>972</v>
      </c>
      <c r="AY88" s="31" t="s">
        <v>456</v>
      </c>
      <c r="AZ88" s="31"/>
      <c r="BA88" s="114" t="s">
        <v>1717</v>
      </c>
      <c r="BB88" s="114" t="s">
        <v>1701</v>
      </c>
      <c r="BC88" s="114" t="s">
        <v>1278</v>
      </c>
      <c r="BD88" s="33" t="s">
        <v>893</v>
      </c>
      <c r="BE88" s="40" t="str">
        <f t="shared" si="18"/>
        <v>II/d</v>
      </c>
      <c r="BF88" s="114"/>
      <c r="BG88" s="114"/>
      <c r="BH88" s="33"/>
      <c r="BI88" s="33"/>
      <c r="BJ88" s="33"/>
      <c r="BK88" s="33"/>
      <c r="BL88" s="33"/>
      <c r="BM88" s="33"/>
      <c r="BN88" s="42"/>
      <c r="BO88" s="33" t="s">
        <v>1718</v>
      </c>
      <c r="BP88" s="43" t="s">
        <v>1719</v>
      </c>
      <c r="BQ88" s="33" t="s">
        <v>1714</v>
      </c>
      <c r="BR88" s="33"/>
      <c r="BS88" s="33"/>
      <c r="BT88" s="33"/>
      <c r="BV88" s="14">
        <f t="shared" si="19"/>
        <v>14</v>
      </c>
      <c r="BW88" s="33"/>
      <c r="BX88" s="15">
        <f t="shared" si="20"/>
        <v>15</v>
      </c>
    </row>
    <row r="89" spans="1:76" ht="18.75" customHeight="1" x14ac:dyDescent="0.3">
      <c r="A89" s="16">
        <v>5</v>
      </c>
      <c r="B89" s="13" t="s">
        <v>1720</v>
      </c>
      <c r="C89" s="17" t="s">
        <v>1721</v>
      </c>
      <c r="D89" s="16" t="s">
        <v>69</v>
      </c>
      <c r="E89" s="19">
        <v>1</v>
      </c>
      <c r="F89" s="19"/>
      <c r="G89" s="16" t="s">
        <v>1722</v>
      </c>
      <c r="H89" s="16" t="s">
        <v>1723</v>
      </c>
      <c r="I89" s="16" t="s">
        <v>82</v>
      </c>
      <c r="J89" s="16" t="s">
        <v>1724</v>
      </c>
      <c r="K89" s="16" t="s">
        <v>1725</v>
      </c>
      <c r="L89" s="114" t="s">
        <v>1278</v>
      </c>
      <c r="M89" s="114"/>
      <c r="N89" s="114"/>
      <c r="O89" s="114" t="s">
        <v>1144</v>
      </c>
      <c r="P89" s="33">
        <v>5</v>
      </c>
      <c r="Q89" s="33">
        <v>2</v>
      </c>
      <c r="R89" s="40">
        <v>14</v>
      </c>
      <c r="S89" s="115">
        <v>8</v>
      </c>
      <c r="T89" s="116">
        <v>15</v>
      </c>
      <c r="U89" s="117">
        <v>8</v>
      </c>
      <c r="V89" s="16" t="s">
        <v>257</v>
      </c>
      <c r="W89" s="16"/>
      <c r="X89" s="16">
        <v>2014</v>
      </c>
      <c r="Y89" s="33"/>
      <c r="Z89" s="33"/>
      <c r="AA89" s="118" t="s">
        <v>1726</v>
      </c>
      <c r="AB89" s="30" t="s">
        <v>1727</v>
      </c>
      <c r="AC89" s="31"/>
      <c r="AD89" s="30"/>
      <c r="AE89" s="30" t="s">
        <v>1728</v>
      </c>
      <c r="AF89" s="30">
        <v>2024</v>
      </c>
      <c r="AG89" s="119" t="s">
        <v>124</v>
      </c>
      <c r="AH89" s="119" t="s">
        <v>124</v>
      </c>
      <c r="AI89" s="119" t="s">
        <v>124</v>
      </c>
      <c r="AJ89" s="31" t="s">
        <v>88</v>
      </c>
      <c r="AK89" s="120" t="s">
        <v>1729</v>
      </c>
      <c r="AL89" s="33">
        <v>3</v>
      </c>
      <c r="AM89" s="33">
        <v>4</v>
      </c>
      <c r="AN89" s="33" t="s">
        <v>706</v>
      </c>
      <c r="AO89" s="33" t="s">
        <v>706</v>
      </c>
      <c r="AP89" s="33" t="s">
        <v>1137</v>
      </c>
      <c r="AQ89" s="82">
        <v>65321</v>
      </c>
      <c r="AR89" s="33" t="s">
        <v>1730</v>
      </c>
      <c r="AS89" s="33"/>
      <c r="AT89" s="121" t="s">
        <v>1731</v>
      </c>
      <c r="AU89" s="121" t="s">
        <v>1698</v>
      </c>
      <c r="AV89" s="121" t="s">
        <v>1144</v>
      </c>
      <c r="AW89" s="31" t="s">
        <v>1699</v>
      </c>
      <c r="AX89" s="31" t="s">
        <v>1266</v>
      </c>
      <c r="AY89" s="31" t="s">
        <v>1267</v>
      </c>
      <c r="AZ89" s="31"/>
      <c r="BA89" s="114" t="s">
        <v>1717</v>
      </c>
      <c r="BB89" s="114" t="s">
        <v>1701</v>
      </c>
      <c r="BC89" s="114" t="s">
        <v>1278</v>
      </c>
      <c r="BD89" s="33" t="s">
        <v>893</v>
      </c>
      <c r="BE89" s="40" t="str">
        <f t="shared" si="18"/>
        <v>II/c</v>
      </c>
      <c r="BF89" s="114"/>
      <c r="BG89" s="114"/>
      <c r="BH89" s="33"/>
      <c r="BI89" s="33"/>
      <c r="BJ89" s="33"/>
      <c r="BK89" s="33"/>
      <c r="BL89" s="33"/>
      <c r="BM89" s="33"/>
      <c r="BN89" s="42"/>
      <c r="BO89" s="33" t="s">
        <v>1732</v>
      </c>
      <c r="BP89" s="43" t="s">
        <v>1733</v>
      </c>
      <c r="BQ89" s="33" t="s">
        <v>1730</v>
      </c>
      <c r="BR89" s="33"/>
      <c r="BS89" s="33"/>
      <c r="BT89" s="33"/>
      <c r="BV89" s="14">
        <f t="shared" si="19"/>
        <v>15</v>
      </c>
      <c r="BW89" s="33"/>
      <c r="BX89" s="15">
        <f t="shared" si="20"/>
        <v>16</v>
      </c>
    </row>
    <row r="90" spans="1:76" ht="18.75" customHeight="1" x14ac:dyDescent="0.3">
      <c r="A90" s="16">
        <v>6</v>
      </c>
      <c r="B90" s="13" t="s">
        <v>1734</v>
      </c>
      <c r="C90" s="17" t="s">
        <v>1735</v>
      </c>
      <c r="D90" s="16" t="s">
        <v>69</v>
      </c>
      <c r="E90" s="19">
        <v>1</v>
      </c>
      <c r="F90" s="19"/>
      <c r="G90" s="16" t="s">
        <v>1736</v>
      </c>
      <c r="H90" s="16" t="s">
        <v>1737</v>
      </c>
      <c r="I90" s="16" t="s">
        <v>82</v>
      </c>
      <c r="J90" s="16" t="s">
        <v>1724</v>
      </c>
      <c r="K90" s="16" t="s">
        <v>1725</v>
      </c>
      <c r="L90" s="114" t="s">
        <v>1278</v>
      </c>
      <c r="M90" s="114"/>
      <c r="N90" s="114"/>
      <c r="O90" s="114" t="s">
        <v>1041</v>
      </c>
      <c r="P90" s="33">
        <v>4</v>
      </c>
      <c r="Q90" s="33">
        <v>2</v>
      </c>
      <c r="R90" s="40">
        <v>14</v>
      </c>
      <c r="S90" s="115">
        <v>6</v>
      </c>
      <c r="T90" s="116">
        <v>15</v>
      </c>
      <c r="U90" s="117">
        <v>6</v>
      </c>
      <c r="V90" s="16" t="s">
        <v>257</v>
      </c>
      <c r="W90" s="16"/>
      <c r="X90" s="16">
        <v>2013</v>
      </c>
      <c r="Y90" s="33"/>
      <c r="Z90" s="33"/>
      <c r="AA90" s="118" t="s">
        <v>1738</v>
      </c>
      <c r="AB90" s="30" t="s">
        <v>1739</v>
      </c>
      <c r="AC90" s="31"/>
      <c r="AD90" s="30"/>
      <c r="AE90" s="30" t="s">
        <v>1740</v>
      </c>
      <c r="AF90" s="30">
        <v>2036</v>
      </c>
      <c r="AG90" s="119" t="s">
        <v>124</v>
      </c>
      <c r="AH90" s="119" t="s">
        <v>124</v>
      </c>
      <c r="AI90" s="119" t="s">
        <v>124</v>
      </c>
      <c r="AJ90" s="31" t="s">
        <v>88</v>
      </c>
      <c r="AK90" s="120" t="s">
        <v>1741</v>
      </c>
      <c r="AL90" s="33">
        <v>6</v>
      </c>
      <c r="AM90" s="33">
        <v>6</v>
      </c>
      <c r="AN90" s="33" t="s">
        <v>235</v>
      </c>
      <c r="AO90" s="33" t="s">
        <v>235</v>
      </c>
      <c r="AP90" s="33" t="s">
        <v>814</v>
      </c>
      <c r="AQ90" s="33">
        <v>65314</v>
      </c>
      <c r="AR90" s="33" t="s">
        <v>1742</v>
      </c>
      <c r="AS90" s="33"/>
      <c r="AT90" s="121" t="s">
        <v>1743</v>
      </c>
      <c r="AU90" s="121" t="s">
        <v>1682</v>
      </c>
      <c r="AV90" s="121" t="s">
        <v>1041</v>
      </c>
      <c r="AW90" s="31" t="s">
        <v>1744</v>
      </c>
      <c r="AX90" s="31" t="s">
        <v>1043</v>
      </c>
      <c r="AY90" s="31" t="s">
        <v>1044</v>
      </c>
      <c r="AZ90" s="31"/>
      <c r="BA90" s="114" t="s">
        <v>1717</v>
      </c>
      <c r="BB90" s="114" t="s">
        <v>1701</v>
      </c>
      <c r="BC90" s="114" t="s">
        <v>1278</v>
      </c>
      <c r="BD90" s="33" t="s">
        <v>893</v>
      </c>
      <c r="BE90" s="40" t="str">
        <f t="shared" si="18"/>
        <v>II/c</v>
      </c>
      <c r="BF90" s="114"/>
      <c r="BG90" s="114"/>
      <c r="BH90" s="33"/>
      <c r="BI90" s="33"/>
      <c r="BJ90" s="33"/>
      <c r="BK90" s="33"/>
      <c r="BL90" s="33"/>
      <c r="BM90" s="33"/>
      <c r="BN90" s="42"/>
      <c r="BO90" s="33" t="s">
        <v>1745</v>
      </c>
      <c r="BP90" s="43" t="s">
        <v>1746</v>
      </c>
      <c r="BQ90" s="33" t="s">
        <v>1742</v>
      </c>
      <c r="BR90" s="33"/>
      <c r="BS90" s="33"/>
      <c r="BT90" s="33"/>
      <c r="BV90" s="14">
        <f t="shared" si="19"/>
        <v>15</v>
      </c>
      <c r="BW90" s="33"/>
      <c r="BX90" s="15">
        <f t="shared" si="20"/>
        <v>16</v>
      </c>
    </row>
    <row r="91" spans="1:76" ht="18.75" customHeight="1" x14ac:dyDescent="0.3">
      <c r="A91" s="16">
        <v>7</v>
      </c>
      <c r="B91" s="13" t="s">
        <v>1747</v>
      </c>
      <c r="C91" s="17" t="s">
        <v>1748</v>
      </c>
      <c r="D91" s="16" t="s">
        <v>69</v>
      </c>
      <c r="E91" s="19">
        <v>1</v>
      </c>
      <c r="F91" s="19"/>
      <c r="G91" s="16" t="s">
        <v>1749</v>
      </c>
      <c r="H91" s="16" t="s">
        <v>1750</v>
      </c>
      <c r="I91" s="16" t="s">
        <v>82</v>
      </c>
      <c r="J91" s="16" t="s">
        <v>1724</v>
      </c>
      <c r="K91" s="16" t="s">
        <v>1725</v>
      </c>
      <c r="L91" s="114" t="s">
        <v>1278</v>
      </c>
      <c r="M91" s="114"/>
      <c r="N91" s="114"/>
      <c r="O91" s="114" t="s">
        <v>1144</v>
      </c>
      <c r="P91" s="33">
        <v>5</v>
      </c>
      <c r="Q91" s="33">
        <v>0</v>
      </c>
      <c r="R91" s="40">
        <v>14</v>
      </c>
      <c r="S91" s="115">
        <v>6</v>
      </c>
      <c r="T91" s="116">
        <v>15</v>
      </c>
      <c r="U91" s="117">
        <v>6</v>
      </c>
      <c r="V91" s="16" t="s">
        <v>1751</v>
      </c>
      <c r="W91" s="16"/>
      <c r="X91" s="16">
        <v>1986</v>
      </c>
      <c r="Y91" s="33"/>
      <c r="Z91" s="33"/>
      <c r="AA91" s="118" t="s">
        <v>1752</v>
      </c>
      <c r="AB91" s="30" t="s">
        <v>1753</v>
      </c>
      <c r="AC91" s="31"/>
      <c r="AD91" s="30"/>
      <c r="AE91" s="30" t="s">
        <v>1754</v>
      </c>
      <c r="AF91" s="30">
        <v>2024</v>
      </c>
      <c r="AG91" s="119" t="s">
        <v>124</v>
      </c>
      <c r="AH91" s="119" t="s">
        <v>124</v>
      </c>
      <c r="AI91" s="119" t="s">
        <v>124</v>
      </c>
      <c r="AJ91" s="31" t="s">
        <v>88</v>
      </c>
      <c r="AK91" s="120" t="s">
        <v>1755</v>
      </c>
      <c r="AL91" s="33">
        <v>4</v>
      </c>
      <c r="AM91" s="33">
        <v>13</v>
      </c>
      <c r="AN91" s="33" t="s">
        <v>174</v>
      </c>
      <c r="AO91" s="33" t="s">
        <v>174</v>
      </c>
      <c r="AP91" s="33" t="s">
        <v>814</v>
      </c>
      <c r="AQ91" s="33">
        <v>65313</v>
      </c>
      <c r="AR91" s="33" t="s">
        <v>1756</v>
      </c>
      <c r="AS91" s="33"/>
      <c r="AT91" s="121" t="s">
        <v>1757</v>
      </c>
      <c r="AU91" s="121" t="s">
        <v>1698</v>
      </c>
      <c r="AV91" s="121" t="s">
        <v>1144</v>
      </c>
      <c r="AW91" s="31" t="s">
        <v>1699</v>
      </c>
      <c r="AX91" s="31" t="s">
        <v>1266</v>
      </c>
      <c r="AY91" s="31" t="s">
        <v>1267</v>
      </c>
      <c r="AZ91" s="31"/>
      <c r="BA91" s="114" t="s">
        <v>1717</v>
      </c>
      <c r="BB91" s="114" t="s">
        <v>1701</v>
      </c>
      <c r="BC91" s="114" t="s">
        <v>1278</v>
      </c>
      <c r="BD91" s="33" t="s">
        <v>893</v>
      </c>
      <c r="BE91" s="40" t="str">
        <f t="shared" si="18"/>
        <v>II/c</v>
      </c>
      <c r="BF91" s="114"/>
      <c r="BG91" s="114"/>
      <c r="BH91" s="33"/>
      <c r="BI91" s="33"/>
      <c r="BJ91" s="33"/>
      <c r="BK91" s="33"/>
      <c r="BL91" s="33"/>
      <c r="BM91" s="33"/>
      <c r="BN91" s="42"/>
      <c r="BO91" s="33" t="s">
        <v>1758</v>
      </c>
      <c r="BP91" s="43" t="s">
        <v>1759</v>
      </c>
      <c r="BQ91" s="33" t="s">
        <v>1756</v>
      </c>
      <c r="BR91" s="33"/>
      <c r="BS91" s="33"/>
      <c r="BT91" s="33"/>
      <c r="BV91" s="14">
        <f t="shared" si="19"/>
        <v>15</v>
      </c>
      <c r="BW91" s="33"/>
      <c r="BX91" s="15">
        <f t="shared" si="20"/>
        <v>16</v>
      </c>
    </row>
    <row r="92" spans="1:76" ht="18.75" customHeight="1" x14ac:dyDescent="0.3">
      <c r="A92" s="16">
        <v>8</v>
      </c>
      <c r="B92" s="13" t="s">
        <v>1760</v>
      </c>
      <c r="C92" s="17" t="s">
        <v>1761</v>
      </c>
      <c r="D92" s="16" t="s">
        <v>70</v>
      </c>
      <c r="E92" s="19"/>
      <c r="F92" s="19">
        <v>1</v>
      </c>
      <c r="G92" s="16" t="s">
        <v>1762</v>
      </c>
      <c r="H92" s="16" t="s">
        <v>1763</v>
      </c>
      <c r="I92" s="16" t="s">
        <v>82</v>
      </c>
      <c r="J92" s="16" t="s">
        <v>1724</v>
      </c>
      <c r="K92" s="16" t="s">
        <v>1725</v>
      </c>
      <c r="L92" s="114" t="s">
        <v>1278</v>
      </c>
      <c r="M92" s="114"/>
      <c r="N92" s="114"/>
      <c r="O92" s="114" t="s">
        <v>1144</v>
      </c>
      <c r="P92" s="33">
        <v>5</v>
      </c>
      <c r="Q92" s="33">
        <v>0</v>
      </c>
      <c r="R92" s="40">
        <v>14</v>
      </c>
      <c r="S92" s="115">
        <v>6</v>
      </c>
      <c r="T92" s="116">
        <v>15</v>
      </c>
      <c r="U92" s="117">
        <v>6</v>
      </c>
      <c r="V92" s="16" t="s">
        <v>1751</v>
      </c>
      <c r="W92" s="16"/>
      <c r="X92" s="16">
        <v>1990</v>
      </c>
      <c r="Y92" s="33"/>
      <c r="Z92" s="33"/>
      <c r="AA92" s="118" t="s">
        <v>1738</v>
      </c>
      <c r="AB92" s="30" t="s">
        <v>1764</v>
      </c>
      <c r="AC92" s="31"/>
      <c r="AD92" s="30"/>
      <c r="AE92" s="30" t="s">
        <v>1765</v>
      </c>
      <c r="AF92" s="30">
        <v>2029</v>
      </c>
      <c r="AG92" s="119" t="s">
        <v>124</v>
      </c>
      <c r="AH92" s="119" t="s">
        <v>124</v>
      </c>
      <c r="AI92" s="119" t="s">
        <v>124</v>
      </c>
      <c r="AJ92" s="31" t="s">
        <v>88</v>
      </c>
      <c r="AK92" s="120" t="s">
        <v>1572</v>
      </c>
      <c r="AL92" s="33">
        <v>2</v>
      </c>
      <c r="AM92" s="33">
        <v>8</v>
      </c>
      <c r="AN92" s="33" t="s">
        <v>235</v>
      </c>
      <c r="AO92" s="33" t="s">
        <v>235</v>
      </c>
      <c r="AP92" s="33" t="s">
        <v>814</v>
      </c>
      <c r="AQ92" s="33">
        <v>65314</v>
      </c>
      <c r="AR92" s="33" t="s">
        <v>1766</v>
      </c>
      <c r="AS92" s="33"/>
      <c r="AT92" s="121" t="s">
        <v>1767</v>
      </c>
      <c r="AU92" s="121" t="s">
        <v>1698</v>
      </c>
      <c r="AV92" s="121" t="s">
        <v>1144</v>
      </c>
      <c r="AW92" s="31" t="s">
        <v>1699</v>
      </c>
      <c r="AX92" s="31" t="s">
        <v>1266</v>
      </c>
      <c r="AY92" s="31" t="s">
        <v>1267</v>
      </c>
      <c r="AZ92" s="31"/>
      <c r="BA92" s="114" t="s">
        <v>1717</v>
      </c>
      <c r="BB92" s="114" t="s">
        <v>1701</v>
      </c>
      <c r="BC92" s="114" t="s">
        <v>1278</v>
      </c>
      <c r="BD92" s="33" t="s">
        <v>893</v>
      </c>
      <c r="BE92" s="40" t="str">
        <f t="shared" si="18"/>
        <v>II/c</v>
      </c>
      <c r="BF92" s="114"/>
      <c r="BG92" s="114"/>
      <c r="BH92" s="33"/>
      <c r="BI92" s="33"/>
      <c r="BJ92" s="33"/>
      <c r="BK92" s="33"/>
      <c r="BL92" s="33"/>
      <c r="BM92" s="33"/>
      <c r="BN92" s="42"/>
      <c r="BO92" s="33" t="s">
        <v>1768</v>
      </c>
      <c r="BP92" s="50" t="s">
        <v>1769</v>
      </c>
      <c r="BQ92" s="33" t="s">
        <v>1766</v>
      </c>
      <c r="BR92" s="33"/>
      <c r="BS92" s="33"/>
      <c r="BT92" s="33"/>
      <c r="BV92" s="14">
        <f t="shared" si="19"/>
        <v>15</v>
      </c>
      <c r="BW92" s="33"/>
      <c r="BX92" s="15">
        <f t="shared" si="20"/>
        <v>16</v>
      </c>
    </row>
    <row r="93" spans="1:76" ht="18.75" customHeight="1" x14ac:dyDescent="0.3">
      <c r="A93" s="16">
        <v>9</v>
      </c>
      <c r="B93" s="13" t="s">
        <v>1770</v>
      </c>
      <c r="C93" s="17" t="s">
        <v>1771</v>
      </c>
      <c r="D93" s="16" t="s">
        <v>69</v>
      </c>
      <c r="E93" s="19">
        <v>1</v>
      </c>
      <c r="F93" s="19"/>
      <c r="G93" s="16" t="s">
        <v>1772</v>
      </c>
      <c r="H93" s="16" t="s">
        <v>1773</v>
      </c>
      <c r="I93" s="16" t="s">
        <v>82</v>
      </c>
      <c r="J93" s="16" t="s">
        <v>1774</v>
      </c>
      <c r="K93" s="16" t="s">
        <v>1775</v>
      </c>
      <c r="L93" s="114" t="s">
        <v>1776</v>
      </c>
      <c r="M93" s="114"/>
      <c r="N93" s="114"/>
      <c r="O93" s="114" t="s">
        <v>1409</v>
      </c>
      <c r="P93" s="33">
        <v>12</v>
      </c>
      <c r="Q93" s="33">
        <v>5</v>
      </c>
      <c r="R93" s="40">
        <v>16</v>
      </c>
      <c r="S93" s="115">
        <v>9</v>
      </c>
      <c r="T93" s="116">
        <v>18</v>
      </c>
      <c r="U93" s="117">
        <v>0</v>
      </c>
      <c r="V93" s="16" t="s">
        <v>1675</v>
      </c>
      <c r="W93" s="16"/>
      <c r="X93" s="16">
        <v>2010</v>
      </c>
      <c r="Y93" s="33"/>
      <c r="Z93" s="33"/>
      <c r="AA93" s="118" t="s">
        <v>1777</v>
      </c>
      <c r="AB93" s="30" t="s">
        <v>1778</v>
      </c>
      <c r="AC93" s="31"/>
      <c r="AD93" s="30"/>
      <c r="AE93" s="30" t="s">
        <v>1779</v>
      </c>
      <c r="AF93" s="30">
        <v>2037</v>
      </c>
      <c r="AG93" s="119" t="s">
        <v>124</v>
      </c>
      <c r="AH93" s="119" t="s">
        <v>124</v>
      </c>
      <c r="AI93" s="119" t="s">
        <v>124</v>
      </c>
      <c r="AJ93" s="31" t="s">
        <v>88</v>
      </c>
      <c r="AK93" s="120" t="s">
        <v>1780</v>
      </c>
      <c r="AL93" s="33">
        <v>1</v>
      </c>
      <c r="AM93" s="33">
        <v>9</v>
      </c>
      <c r="AN93" s="33" t="s">
        <v>1781</v>
      </c>
      <c r="AO93" s="33" t="s">
        <v>1781</v>
      </c>
      <c r="AP93" s="33" t="s">
        <v>514</v>
      </c>
      <c r="AQ93" s="33">
        <v>65333</v>
      </c>
      <c r="AR93" s="33" t="s">
        <v>1782</v>
      </c>
      <c r="AS93" s="33"/>
      <c r="AT93" s="121" t="s">
        <v>1783</v>
      </c>
      <c r="AU93" s="121" t="s">
        <v>1784</v>
      </c>
      <c r="AV93" s="121" t="s">
        <v>1409</v>
      </c>
      <c r="AW93" s="31" t="s">
        <v>1785</v>
      </c>
      <c r="AX93" s="31" t="s">
        <v>1423</v>
      </c>
      <c r="AY93" s="31" t="s">
        <v>1786</v>
      </c>
      <c r="AZ93" s="31"/>
      <c r="BA93" s="114" t="s">
        <v>1787</v>
      </c>
      <c r="BB93" s="114" t="s">
        <v>1788</v>
      </c>
      <c r="BC93" s="114" t="s">
        <v>1776</v>
      </c>
      <c r="BD93" s="33" t="s">
        <v>893</v>
      </c>
      <c r="BE93" s="40" t="str">
        <f t="shared" si="18"/>
        <v>II/b</v>
      </c>
      <c r="BF93" s="114"/>
      <c r="BG93" s="114"/>
      <c r="BH93" s="33"/>
      <c r="BI93" s="33"/>
      <c r="BJ93" s="33"/>
      <c r="BK93" s="33"/>
      <c r="BL93" s="33"/>
      <c r="BM93" s="33"/>
      <c r="BN93" s="42"/>
      <c r="BO93" s="33" t="s">
        <v>1789</v>
      </c>
      <c r="BP93" s="43" t="s">
        <v>1790</v>
      </c>
      <c r="BQ93" s="33" t="s">
        <v>1782</v>
      </c>
      <c r="BR93" s="33"/>
      <c r="BS93" s="33"/>
      <c r="BT93" s="33"/>
      <c r="BV93" s="14">
        <f t="shared" si="19"/>
        <v>17</v>
      </c>
      <c r="BW93" s="33"/>
      <c r="BX93" s="15">
        <f t="shared" si="20"/>
        <v>19</v>
      </c>
    </row>
    <row r="94" spans="1:76" ht="18.75" customHeight="1" x14ac:dyDescent="0.3">
      <c r="A94" s="16">
        <v>10</v>
      </c>
      <c r="B94" s="13" t="s">
        <v>1791</v>
      </c>
      <c r="C94" s="17" t="s">
        <v>1792</v>
      </c>
      <c r="D94" s="16" t="s">
        <v>69</v>
      </c>
      <c r="E94" s="19">
        <v>1</v>
      </c>
      <c r="F94" s="19"/>
      <c r="G94" s="16" t="s">
        <v>1793</v>
      </c>
      <c r="H94" s="16" t="s">
        <v>1794</v>
      </c>
      <c r="I94" s="16" t="s">
        <v>82</v>
      </c>
      <c r="J94" s="16" t="s">
        <v>1774</v>
      </c>
      <c r="K94" s="16" t="s">
        <v>1775</v>
      </c>
      <c r="L94" s="114" t="s">
        <v>1776</v>
      </c>
      <c r="M94" s="114"/>
      <c r="N94" s="114"/>
      <c r="O94" s="114" t="s">
        <v>1409</v>
      </c>
      <c r="P94" s="33">
        <v>12</v>
      </c>
      <c r="Q94" s="33">
        <v>5</v>
      </c>
      <c r="R94" s="40">
        <v>16</v>
      </c>
      <c r="S94" s="115">
        <v>9</v>
      </c>
      <c r="T94" s="116">
        <v>17</v>
      </c>
      <c r="U94" s="117">
        <v>0</v>
      </c>
      <c r="V94" s="16" t="s">
        <v>1751</v>
      </c>
      <c r="W94" s="16"/>
      <c r="X94" s="16">
        <v>2000</v>
      </c>
      <c r="Y94" s="33"/>
      <c r="Z94" s="33"/>
      <c r="AA94" s="118" t="s">
        <v>1795</v>
      </c>
      <c r="AB94" s="30" t="s">
        <v>1796</v>
      </c>
      <c r="AC94" s="31"/>
      <c r="AD94" s="30"/>
      <c r="AE94" s="30" t="s">
        <v>1797</v>
      </c>
      <c r="AF94" s="30">
        <v>2039</v>
      </c>
      <c r="AG94" s="119" t="s">
        <v>124</v>
      </c>
      <c r="AH94" s="119" t="s">
        <v>124</v>
      </c>
      <c r="AI94" s="119" t="s">
        <v>124</v>
      </c>
      <c r="AJ94" s="31" t="s">
        <v>88</v>
      </c>
      <c r="AK94" s="120" t="s">
        <v>1798</v>
      </c>
      <c r="AL94" s="33">
        <v>5</v>
      </c>
      <c r="AM94" s="33">
        <v>9</v>
      </c>
      <c r="AN94" s="33" t="s">
        <v>1781</v>
      </c>
      <c r="AO94" s="33" t="s">
        <v>1781</v>
      </c>
      <c r="AP94" s="33" t="s">
        <v>514</v>
      </c>
      <c r="AQ94" s="33">
        <v>65333</v>
      </c>
      <c r="AR94" s="33" t="s">
        <v>1799</v>
      </c>
      <c r="AS94" s="33"/>
      <c r="AT94" s="121" t="s">
        <v>1783</v>
      </c>
      <c r="AU94" s="121" t="s">
        <v>1784</v>
      </c>
      <c r="AV94" s="121" t="s">
        <v>1409</v>
      </c>
      <c r="AW94" s="31" t="s">
        <v>1785</v>
      </c>
      <c r="AX94" s="31" t="s">
        <v>1423</v>
      </c>
      <c r="AY94" s="31" t="s">
        <v>1786</v>
      </c>
      <c r="AZ94" s="31"/>
      <c r="BA94" s="114" t="s">
        <v>1787</v>
      </c>
      <c r="BB94" s="114" t="s">
        <v>1788</v>
      </c>
      <c r="BC94" s="114" t="s">
        <v>1776</v>
      </c>
      <c r="BD94" s="33" t="s">
        <v>893</v>
      </c>
      <c r="BE94" s="40" t="str">
        <f t="shared" si="18"/>
        <v>II/b</v>
      </c>
      <c r="BF94" s="114"/>
      <c r="BG94" s="114"/>
      <c r="BH94" s="33"/>
      <c r="BI94" s="33"/>
      <c r="BJ94" s="33"/>
      <c r="BK94" s="33"/>
      <c r="BL94" s="33"/>
      <c r="BM94" s="33"/>
      <c r="BN94" s="42"/>
      <c r="BO94" s="33" t="s">
        <v>1800</v>
      </c>
      <c r="BP94" s="43" t="s">
        <v>1801</v>
      </c>
      <c r="BQ94" s="33" t="s">
        <v>1799</v>
      </c>
      <c r="BR94" s="33"/>
      <c r="BS94" s="33"/>
      <c r="BT94" s="33"/>
      <c r="BV94" s="14">
        <f t="shared" si="19"/>
        <v>17</v>
      </c>
      <c r="BW94" s="33"/>
      <c r="BX94" s="15">
        <f t="shared" si="20"/>
        <v>18</v>
      </c>
    </row>
    <row r="95" spans="1:76" ht="18.75" customHeight="1" x14ac:dyDescent="0.3">
      <c r="A95" s="16">
        <v>11</v>
      </c>
      <c r="B95" s="13" t="s">
        <v>1802</v>
      </c>
      <c r="C95" s="17" t="s">
        <v>1803</v>
      </c>
      <c r="D95" s="16" t="s">
        <v>69</v>
      </c>
      <c r="E95" s="19">
        <v>1</v>
      </c>
      <c r="F95" s="19"/>
      <c r="G95" s="16" t="s">
        <v>1804</v>
      </c>
      <c r="H95" s="16" t="s">
        <v>1805</v>
      </c>
      <c r="I95" s="16" t="s">
        <v>82</v>
      </c>
      <c r="J95" s="16" t="s">
        <v>1806</v>
      </c>
      <c r="K95" s="16" t="s">
        <v>1775</v>
      </c>
      <c r="L95" s="114" t="s">
        <v>1047</v>
      </c>
      <c r="M95" s="114"/>
      <c r="N95" s="114"/>
      <c r="O95" s="114" t="s">
        <v>1130</v>
      </c>
      <c r="P95" s="33">
        <v>12</v>
      </c>
      <c r="Q95" s="33">
        <v>3</v>
      </c>
      <c r="R95" s="40">
        <v>12</v>
      </c>
      <c r="S95" s="115">
        <v>6</v>
      </c>
      <c r="T95" s="116">
        <v>12</v>
      </c>
      <c r="U95" s="117">
        <v>6</v>
      </c>
      <c r="V95" s="16" t="s">
        <v>1751</v>
      </c>
      <c r="W95" s="16"/>
      <c r="X95" s="16">
        <v>2002</v>
      </c>
      <c r="Y95" s="33"/>
      <c r="Z95" s="33"/>
      <c r="AA95" s="118" t="s">
        <v>1807</v>
      </c>
      <c r="AB95" s="30" t="s">
        <v>1808</v>
      </c>
      <c r="AC95" s="31"/>
      <c r="AD95" s="30"/>
      <c r="AE95" s="30" t="s">
        <v>1809</v>
      </c>
      <c r="AF95" s="30">
        <v>2025</v>
      </c>
      <c r="AG95" s="119" t="s">
        <v>124</v>
      </c>
      <c r="AH95" s="119" t="s">
        <v>124</v>
      </c>
      <c r="AI95" s="119" t="s">
        <v>124</v>
      </c>
      <c r="AJ95" s="31" t="s">
        <v>88</v>
      </c>
      <c r="AK95" s="120" t="s">
        <v>1810</v>
      </c>
      <c r="AL95" s="33">
        <v>5</v>
      </c>
      <c r="AM95" s="33">
        <v>2</v>
      </c>
      <c r="AN95" s="33" t="s">
        <v>235</v>
      </c>
      <c r="AO95" s="33" t="s">
        <v>235</v>
      </c>
      <c r="AP95" s="33" t="s">
        <v>814</v>
      </c>
      <c r="AQ95" s="33">
        <v>65314</v>
      </c>
      <c r="AR95" s="33" t="s">
        <v>1811</v>
      </c>
      <c r="AS95" s="33"/>
      <c r="AT95" s="121" t="s">
        <v>1812</v>
      </c>
      <c r="AU95" s="121" t="s">
        <v>1682</v>
      </c>
      <c r="AV95" s="121" t="s">
        <v>1130</v>
      </c>
      <c r="AW95" s="31" t="s">
        <v>1683</v>
      </c>
      <c r="AX95" s="31" t="s">
        <v>1684</v>
      </c>
      <c r="AY95" s="31" t="s">
        <v>1685</v>
      </c>
      <c r="AZ95" s="31"/>
      <c r="BA95" s="114" t="s">
        <v>1813</v>
      </c>
      <c r="BB95" s="114" t="s">
        <v>1046</v>
      </c>
      <c r="BC95" s="114" t="s">
        <v>1047</v>
      </c>
      <c r="BD95" s="33" t="s">
        <v>893</v>
      </c>
      <c r="BE95" s="40" t="str">
        <f t="shared" si="18"/>
        <v>II/b</v>
      </c>
      <c r="BF95" s="114"/>
      <c r="BG95" s="114"/>
      <c r="BH95" s="33"/>
      <c r="BI95" s="33"/>
      <c r="BJ95" s="33"/>
      <c r="BK95" s="33"/>
      <c r="BL95" s="33"/>
      <c r="BM95" s="33"/>
      <c r="BN95" s="42"/>
      <c r="BO95" s="33" t="s">
        <v>1814</v>
      </c>
      <c r="BP95" s="43" t="s">
        <v>1815</v>
      </c>
      <c r="BQ95" s="33" t="s">
        <v>1811</v>
      </c>
      <c r="BR95" s="33"/>
      <c r="BS95" s="33"/>
      <c r="BT95" s="33"/>
      <c r="BV95" s="14">
        <f t="shared" si="19"/>
        <v>13</v>
      </c>
      <c r="BW95" s="33"/>
      <c r="BX95" s="15">
        <f t="shared" si="20"/>
        <v>13</v>
      </c>
    </row>
    <row r="96" spans="1:76" s="135" customFormat="1" ht="18.75" customHeight="1" x14ac:dyDescent="0.25">
      <c r="A96" s="16">
        <v>12</v>
      </c>
      <c r="B96" s="122" t="s">
        <v>1816</v>
      </c>
      <c r="C96" s="123" t="s">
        <v>1817</v>
      </c>
      <c r="D96" s="9" t="s">
        <v>70</v>
      </c>
      <c r="E96" s="124"/>
      <c r="F96" s="124">
        <v>1</v>
      </c>
      <c r="G96" s="9" t="s">
        <v>124</v>
      </c>
      <c r="H96" s="9" t="s">
        <v>124</v>
      </c>
      <c r="I96" s="9" t="s">
        <v>1504</v>
      </c>
      <c r="J96" s="9" t="s">
        <v>124</v>
      </c>
      <c r="K96" s="9" t="s">
        <v>124</v>
      </c>
      <c r="L96" s="123"/>
      <c r="M96" s="123"/>
      <c r="N96" s="123"/>
      <c r="O96" s="125" t="s">
        <v>1818</v>
      </c>
      <c r="P96" s="126"/>
      <c r="Q96" s="126"/>
      <c r="R96" s="40"/>
      <c r="S96" s="40"/>
      <c r="T96" s="116">
        <v>13</v>
      </c>
      <c r="U96" s="127">
        <v>7</v>
      </c>
      <c r="V96" s="9" t="s">
        <v>1819</v>
      </c>
      <c r="W96" s="9"/>
      <c r="X96" s="9">
        <v>2006</v>
      </c>
      <c r="Y96" s="126"/>
      <c r="Z96" s="126"/>
      <c r="AA96" s="128" t="s">
        <v>1820</v>
      </c>
      <c r="AB96" s="129" t="s">
        <v>1821</v>
      </c>
      <c r="AC96" s="130"/>
      <c r="AD96" s="129"/>
      <c r="AE96" s="129" t="s">
        <v>124</v>
      </c>
      <c r="AF96" s="129" t="s">
        <v>124</v>
      </c>
      <c r="AG96" s="131" t="s">
        <v>124</v>
      </c>
      <c r="AH96" s="131" t="s">
        <v>124</v>
      </c>
      <c r="AI96" s="131" t="s">
        <v>124</v>
      </c>
      <c r="AJ96" s="130" t="s">
        <v>88</v>
      </c>
      <c r="AK96" s="126" t="s">
        <v>1822</v>
      </c>
      <c r="AL96" s="126">
        <v>8</v>
      </c>
      <c r="AM96" s="126">
        <v>6</v>
      </c>
      <c r="AN96" s="126" t="s">
        <v>235</v>
      </c>
      <c r="AO96" s="126" t="s">
        <v>235</v>
      </c>
      <c r="AP96" s="126" t="s">
        <v>814</v>
      </c>
      <c r="AQ96" s="126">
        <v>65314</v>
      </c>
      <c r="AR96" s="126" t="s">
        <v>1823</v>
      </c>
      <c r="AS96" s="126"/>
      <c r="AT96" s="130"/>
      <c r="AU96" s="130"/>
      <c r="AV96" s="132" t="s">
        <v>1818</v>
      </c>
      <c r="AW96" s="126"/>
      <c r="AX96" s="126"/>
      <c r="AY96" s="126"/>
      <c r="AZ96" s="126"/>
      <c r="BA96" s="126"/>
      <c r="BB96" s="126"/>
      <c r="BC96" s="126"/>
      <c r="BD96" s="126"/>
      <c r="BE96" s="126" t="str">
        <f t="shared" ref="BE96:BE114" si="21">J96</f>
        <v>-</v>
      </c>
      <c r="BF96" s="133"/>
      <c r="BG96" s="133"/>
      <c r="BH96" s="126"/>
      <c r="BI96" s="126"/>
      <c r="BJ96" s="126"/>
      <c r="BK96" s="126"/>
      <c r="BL96" s="126"/>
      <c r="BM96" s="126"/>
      <c r="BN96" s="134"/>
      <c r="BO96" s="126" t="s">
        <v>1824</v>
      </c>
      <c r="BP96" s="126" t="s">
        <v>1825</v>
      </c>
      <c r="BQ96" s="126" t="s">
        <v>1823</v>
      </c>
      <c r="BR96" s="126"/>
      <c r="BS96" s="126"/>
      <c r="BT96" s="126"/>
      <c r="BV96" s="40"/>
      <c r="BW96" s="126"/>
      <c r="BX96" s="15">
        <f t="shared" si="20"/>
        <v>14</v>
      </c>
    </row>
    <row r="97" spans="1:76" s="135" customFormat="1" ht="18.75" customHeight="1" x14ac:dyDescent="0.25">
      <c r="A97" s="16">
        <v>13</v>
      </c>
      <c r="B97" s="122" t="s">
        <v>1826</v>
      </c>
      <c r="C97" s="123" t="s">
        <v>1827</v>
      </c>
      <c r="D97" s="9" t="s">
        <v>69</v>
      </c>
      <c r="E97" s="124">
        <v>1</v>
      </c>
      <c r="F97" s="124"/>
      <c r="G97" s="9" t="s">
        <v>124</v>
      </c>
      <c r="H97" s="9" t="s">
        <v>124</v>
      </c>
      <c r="I97" s="9" t="s">
        <v>1504</v>
      </c>
      <c r="J97" s="9" t="s">
        <v>124</v>
      </c>
      <c r="K97" s="9" t="s">
        <v>124</v>
      </c>
      <c r="L97" s="123"/>
      <c r="M97" s="123"/>
      <c r="N97" s="123"/>
      <c r="O97" s="125" t="s">
        <v>1828</v>
      </c>
      <c r="P97" s="126"/>
      <c r="Q97" s="126"/>
      <c r="R97" s="40"/>
      <c r="S97" s="40"/>
      <c r="T97" s="116">
        <v>12</v>
      </c>
      <c r="U97" s="127">
        <v>10</v>
      </c>
      <c r="V97" s="9" t="s">
        <v>1751</v>
      </c>
      <c r="W97" s="9"/>
      <c r="X97" s="9">
        <v>2010</v>
      </c>
      <c r="Y97" s="126"/>
      <c r="Z97" s="126"/>
      <c r="AA97" s="128" t="s">
        <v>1807</v>
      </c>
      <c r="AB97" s="129" t="s">
        <v>1829</v>
      </c>
      <c r="AC97" s="130"/>
      <c r="AD97" s="129"/>
      <c r="AE97" s="129" t="s">
        <v>124</v>
      </c>
      <c r="AF97" s="129" t="s">
        <v>124</v>
      </c>
      <c r="AG97" s="131" t="s">
        <v>124</v>
      </c>
      <c r="AH97" s="131" t="s">
        <v>124</v>
      </c>
      <c r="AI97" s="131" t="s">
        <v>124</v>
      </c>
      <c r="AJ97" s="130" t="s">
        <v>88</v>
      </c>
      <c r="AK97" s="126" t="s">
        <v>1830</v>
      </c>
      <c r="AL97" s="126">
        <v>2</v>
      </c>
      <c r="AM97" s="126">
        <v>3</v>
      </c>
      <c r="AN97" s="126" t="s">
        <v>235</v>
      </c>
      <c r="AO97" s="126" t="s">
        <v>235</v>
      </c>
      <c r="AP97" s="126" t="s">
        <v>814</v>
      </c>
      <c r="AQ97" s="126">
        <v>65314</v>
      </c>
      <c r="AR97" s="126" t="s">
        <v>1831</v>
      </c>
      <c r="AS97" s="126"/>
      <c r="AT97" s="130"/>
      <c r="AU97" s="130"/>
      <c r="AV97" s="132" t="s">
        <v>1828</v>
      </c>
      <c r="AW97" s="126"/>
      <c r="AX97" s="126"/>
      <c r="AY97" s="126"/>
      <c r="AZ97" s="126"/>
      <c r="BA97" s="126"/>
      <c r="BB97" s="126"/>
      <c r="BC97" s="126"/>
      <c r="BD97" s="126"/>
      <c r="BE97" s="126" t="str">
        <f t="shared" si="21"/>
        <v>-</v>
      </c>
      <c r="BF97" s="133"/>
      <c r="BG97" s="133"/>
      <c r="BH97" s="126"/>
      <c r="BI97" s="126"/>
      <c r="BJ97" s="126"/>
      <c r="BK97" s="126"/>
      <c r="BL97" s="126"/>
      <c r="BM97" s="126"/>
      <c r="BN97" s="134"/>
      <c r="BO97" s="126" t="s">
        <v>1832</v>
      </c>
      <c r="BP97" s="126" t="s">
        <v>1833</v>
      </c>
      <c r="BQ97" s="126" t="s">
        <v>1831</v>
      </c>
      <c r="BR97" s="126"/>
      <c r="BS97" s="126"/>
      <c r="BT97" s="126"/>
      <c r="BV97" s="40"/>
      <c r="BW97" s="126"/>
      <c r="BX97" s="15">
        <f t="shared" si="20"/>
        <v>13</v>
      </c>
    </row>
    <row r="98" spans="1:76" s="135" customFormat="1" ht="18.75" customHeight="1" x14ac:dyDescent="0.25">
      <c r="A98" s="16">
        <v>14</v>
      </c>
      <c r="B98" s="122" t="s">
        <v>1834</v>
      </c>
      <c r="C98" s="123" t="s">
        <v>1835</v>
      </c>
      <c r="D98" s="9" t="s">
        <v>69</v>
      </c>
      <c r="E98" s="124">
        <v>1</v>
      </c>
      <c r="F98" s="124"/>
      <c r="G98" s="9" t="s">
        <v>124</v>
      </c>
      <c r="H98" s="9" t="s">
        <v>124</v>
      </c>
      <c r="I98" s="9" t="s">
        <v>1504</v>
      </c>
      <c r="J98" s="9" t="s">
        <v>124</v>
      </c>
      <c r="K98" s="9" t="s">
        <v>124</v>
      </c>
      <c r="L98" s="123"/>
      <c r="M98" s="123"/>
      <c r="N98" s="123"/>
      <c r="O98" s="125" t="s">
        <v>1836</v>
      </c>
      <c r="P98" s="126"/>
      <c r="Q98" s="126"/>
      <c r="R98" s="40"/>
      <c r="S98" s="40"/>
      <c r="T98" s="116">
        <v>12</v>
      </c>
      <c r="U98" s="127">
        <v>7</v>
      </c>
      <c r="V98" s="9" t="s">
        <v>1837</v>
      </c>
      <c r="W98" s="9"/>
      <c r="X98" s="9">
        <v>1984</v>
      </c>
      <c r="Y98" s="126"/>
      <c r="Z98" s="126"/>
      <c r="AA98" s="128" t="s">
        <v>1807</v>
      </c>
      <c r="AB98" s="129" t="s">
        <v>1838</v>
      </c>
      <c r="AC98" s="130"/>
      <c r="AD98" s="129"/>
      <c r="AE98" s="129" t="s">
        <v>124</v>
      </c>
      <c r="AF98" s="129" t="s">
        <v>124</v>
      </c>
      <c r="AG98" s="131" t="s">
        <v>124</v>
      </c>
      <c r="AH98" s="131" t="s">
        <v>124</v>
      </c>
      <c r="AI98" s="131" t="s">
        <v>124</v>
      </c>
      <c r="AJ98" s="130" t="s">
        <v>88</v>
      </c>
      <c r="AK98" s="126" t="s">
        <v>1839</v>
      </c>
      <c r="AL98" s="126">
        <v>5</v>
      </c>
      <c r="AM98" s="126">
        <v>8</v>
      </c>
      <c r="AN98" s="126" t="s">
        <v>174</v>
      </c>
      <c r="AO98" s="126" t="s">
        <v>174</v>
      </c>
      <c r="AP98" s="126" t="s">
        <v>814</v>
      </c>
      <c r="AQ98" s="126">
        <v>65313</v>
      </c>
      <c r="AR98" s="126" t="s">
        <v>1840</v>
      </c>
      <c r="AS98" s="126"/>
      <c r="AT98" s="130"/>
      <c r="AU98" s="130"/>
      <c r="AV98" s="132" t="s">
        <v>1836</v>
      </c>
      <c r="AW98" s="126"/>
      <c r="AX98" s="126"/>
      <c r="AY98" s="126"/>
      <c r="AZ98" s="126"/>
      <c r="BA98" s="126"/>
      <c r="BB98" s="126"/>
      <c r="BC98" s="126"/>
      <c r="BD98" s="126"/>
      <c r="BE98" s="126" t="str">
        <f t="shared" si="21"/>
        <v>-</v>
      </c>
      <c r="BF98" s="133"/>
      <c r="BG98" s="133"/>
      <c r="BH98" s="126"/>
      <c r="BI98" s="126"/>
      <c r="BJ98" s="126"/>
      <c r="BK98" s="126"/>
      <c r="BL98" s="126"/>
      <c r="BM98" s="126"/>
      <c r="BN98" s="134"/>
      <c r="BO98" s="126" t="s">
        <v>1841</v>
      </c>
      <c r="BP98" s="126" t="s">
        <v>1842</v>
      </c>
      <c r="BQ98" s="126" t="s">
        <v>1840</v>
      </c>
      <c r="BR98" s="126"/>
      <c r="BS98" s="126"/>
      <c r="BT98" s="126"/>
      <c r="BV98" s="40"/>
      <c r="BW98" s="126"/>
      <c r="BX98" s="15">
        <f t="shared" si="20"/>
        <v>13</v>
      </c>
    </row>
    <row r="99" spans="1:76" s="135" customFormat="1" ht="18.75" customHeight="1" x14ac:dyDescent="0.25">
      <c r="A99" s="16">
        <v>15</v>
      </c>
      <c r="B99" s="122" t="s">
        <v>1843</v>
      </c>
      <c r="C99" s="123" t="s">
        <v>1844</v>
      </c>
      <c r="D99" s="9" t="s">
        <v>69</v>
      </c>
      <c r="E99" s="124">
        <v>1</v>
      </c>
      <c r="F99" s="124"/>
      <c r="G99" s="9" t="s">
        <v>124</v>
      </c>
      <c r="H99" s="9" t="s">
        <v>124</v>
      </c>
      <c r="I99" s="9" t="s">
        <v>1504</v>
      </c>
      <c r="J99" s="9" t="s">
        <v>124</v>
      </c>
      <c r="K99" s="9" t="s">
        <v>124</v>
      </c>
      <c r="L99" s="123"/>
      <c r="M99" s="123"/>
      <c r="N99" s="123"/>
      <c r="O99" s="125" t="s">
        <v>1845</v>
      </c>
      <c r="P99" s="126"/>
      <c r="Q99" s="126"/>
      <c r="R99" s="40"/>
      <c r="S99" s="40"/>
      <c r="T99" s="116">
        <v>12</v>
      </c>
      <c r="U99" s="127">
        <v>5</v>
      </c>
      <c r="V99" s="9" t="s">
        <v>1751</v>
      </c>
      <c r="W99" s="9"/>
      <c r="X99" s="9">
        <v>2007</v>
      </c>
      <c r="Y99" s="126"/>
      <c r="Z99" s="126"/>
      <c r="AA99" s="128" t="s">
        <v>1846</v>
      </c>
      <c r="AB99" s="129" t="s">
        <v>1847</v>
      </c>
      <c r="AC99" s="130"/>
      <c r="AD99" s="129"/>
      <c r="AE99" s="129" t="s">
        <v>124</v>
      </c>
      <c r="AF99" s="129" t="s">
        <v>124</v>
      </c>
      <c r="AG99" s="131" t="s">
        <v>124</v>
      </c>
      <c r="AH99" s="131" t="s">
        <v>124</v>
      </c>
      <c r="AI99" s="131" t="s">
        <v>124</v>
      </c>
      <c r="AJ99" s="130" t="s">
        <v>88</v>
      </c>
      <c r="AK99" s="126" t="s">
        <v>1848</v>
      </c>
      <c r="AL99" s="126">
        <v>4</v>
      </c>
      <c r="AM99" s="126">
        <v>1</v>
      </c>
      <c r="AN99" s="126" t="s">
        <v>235</v>
      </c>
      <c r="AO99" s="126" t="s">
        <v>235</v>
      </c>
      <c r="AP99" s="126" t="s">
        <v>814</v>
      </c>
      <c r="AQ99" s="126">
        <v>65314</v>
      </c>
      <c r="AR99" s="126" t="s">
        <v>1849</v>
      </c>
      <c r="AS99" s="126"/>
      <c r="AT99" s="130"/>
      <c r="AU99" s="130"/>
      <c r="AV99" s="132" t="s">
        <v>1845</v>
      </c>
      <c r="AW99" s="126"/>
      <c r="AX99" s="126"/>
      <c r="AY99" s="126"/>
      <c r="AZ99" s="126"/>
      <c r="BA99" s="126"/>
      <c r="BB99" s="126"/>
      <c r="BC99" s="126"/>
      <c r="BD99" s="126"/>
      <c r="BE99" s="126" t="str">
        <f t="shared" si="21"/>
        <v>-</v>
      </c>
      <c r="BF99" s="133"/>
      <c r="BG99" s="133"/>
      <c r="BH99" s="126"/>
      <c r="BI99" s="126"/>
      <c r="BJ99" s="126"/>
      <c r="BK99" s="126"/>
      <c r="BL99" s="126"/>
      <c r="BM99" s="126"/>
      <c r="BN99" s="134"/>
      <c r="BO99" s="126" t="s">
        <v>1850</v>
      </c>
      <c r="BP99" s="126" t="s">
        <v>1851</v>
      </c>
      <c r="BQ99" s="126" t="s">
        <v>1849</v>
      </c>
      <c r="BR99" s="126"/>
      <c r="BS99" s="126"/>
      <c r="BT99" s="126"/>
      <c r="BV99" s="40"/>
      <c r="BW99" s="126"/>
      <c r="BX99" s="15">
        <f t="shared" si="20"/>
        <v>13</v>
      </c>
    </row>
    <row r="100" spans="1:76" s="135" customFormat="1" ht="18.75" customHeight="1" x14ac:dyDescent="0.25">
      <c r="A100" s="16">
        <v>16</v>
      </c>
      <c r="B100" s="122" t="s">
        <v>1852</v>
      </c>
      <c r="C100" s="123" t="s">
        <v>1853</v>
      </c>
      <c r="D100" s="9" t="s">
        <v>69</v>
      </c>
      <c r="E100" s="124">
        <v>1</v>
      </c>
      <c r="F100" s="124"/>
      <c r="G100" s="9" t="s">
        <v>124</v>
      </c>
      <c r="H100" s="9" t="s">
        <v>124</v>
      </c>
      <c r="I100" s="9" t="s">
        <v>1504</v>
      </c>
      <c r="J100" s="9" t="s">
        <v>124</v>
      </c>
      <c r="K100" s="9" t="s">
        <v>124</v>
      </c>
      <c r="L100" s="123"/>
      <c r="M100" s="123"/>
      <c r="N100" s="123"/>
      <c r="O100" s="125" t="s">
        <v>1845</v>
      </c>
      <c r="P100" s="126"/>
      <c r="Q100" s="126"/>
      <c r="R100" s="40"/>
      <c r="S100" s="40"/>
      <c r="T100" s="116">
        <v>12</v>
      </c>
      <c r="U100" s="127">
        <v>5</v>
      </c>
      <c r="V100" s="9" t="s">
        <v>1751</v>
      </c>
      <c r="W100" s="9"/>
      <c r="X100" s="9">
        <v>1996</v>
      </c>
      <c r="Y100" s="126"/>
      <c r="Z100" s="126"/>
      <c r="AA100" s="128" t="s">
        <v>1846</v>
      </c>
      <c r="AB100" s="129" t="s">
        <v>1854</v>
      </c>
      <c r="AC100" s="130"/>
      <c r="AD100" s="129"/>
      <c r="AE100" s="129" t="s">
        <v>124</v>
      </c>
      <c r="AF100" s="129" t="s">
        <v>124</v>
      </c>
      <c r="AG100" s="131" t="s">
        <v>124</v>
      </c>
      <c r="AH100" s="131" t="s">
        <v>124</v>
      </c>
      <c r="AI100" s="131" t="s">
        <v>124</v>
      </c>
      <c r="AJ100" s="130" t="s">
        <v>88</v>
      </c>
      <c r="AK100" s="126" t="s">
        <v>1855</v>
      </c>
      <c r="AL100" s="126"/>
      <c r="AM100" s="126"/>
      <c r="AN100" s="126" t="s">
        <v>235</v>
      </c>
      <c r="AO100" s="126" t="s">
        <v>235</v>
      </c>
      <c r="AP100" s="126" t="s">
        <v>814</v>
      </c>
      <c r="AQ100" s="126">
        <v>65314</v>
      </c>
      <c r="AR100" s="126" t="s">
        <v>1856</v>
      </c>
      <c r="AS100" s="126"/>
      <c r="AT100" s="130"/>
      <c r="AU100" s="130"/>
      <c r="AV100" s="132" t="s">
        <v>1845</v>
      </c>
      <c r="AW100" s="126"/>
      <c r="AX100" s="126"/>
      <c r="AY100" s="126"/>
      <c r="AZ100" s="126"/>
      <c r="BA100" s="126"/>
      <c r="BB100" s="126"/>
      <c r="BC100" s="126"/>
      <c r="BD100" s="126"/>
      <c r="BE100" s="126" t="str">
        <f t="shared" si="21"/>
        <v>-</v>
      </c>
      <c r="BF100" s="133"/>
      <c r="BG100" s="133"/>
      <c r="BH100" s="126"/>
      <c r="BI100" s="126"/>
      <c r="BJ100" s="126"/>
      <c r="BK100" s="126"/>
      <c r="BL100" s="126"/>
      <c r="BM100" s="126"/>
      <c r="BN100" s="134"/>
      <c r="BO100" s="126" t="s">
        <v>1857</v>
      </c>
      <c r="BP100" s="126" t="s">
        <v>1858</v>
      </c>
      <c r="BQ100" s="126" t="s">
        <v>1856</v>
      </c>
      <c r="BR100" s="126"/>
      <c r="BS100" s="126"/>
      <c r="BT100" s="126"/>
      <c r="BV100" s="40"/>
      <c r="BW100" s="126"/>
      <c r="BX100" s="15">
        <f t="shared" si="20"/>
        <v>13</v>
      </c>
    </row>
    <row r="101" spans="1:76" s="135" customFormat="1" ht="18.75" customHeight="1" x14ac:dyDescent="0.25">
      <c r="A101" s="16">
        <v>17</v>
      </c>
      <c r="B101" s="122" t="s">
        <v>1859</v>
      </c>
      <c r="C101" s="123" t="s">
        <v>1860</v>
      </c>
      <c r="D101" s="9" t="s">
        <v>70</v>
      </c>
      <c r="E101" s="124"/>
      <c r="F101" s="124">
        <v>1</v>
      </c>
      <c r="G101" s="9" t="s">
        <v>124</v>
      </c>
      <c r="H101" s="9" t="s">
        <v>124</v>
      </c>
      <c r="I101" s="9" t="s">
        <v>1504</v>
      </c>
      <c r="J101" s="9" t="s">
        <v>124</v>
      </c>
      <c r="K101" s="9" t="s">
        <v>124</v>
      </c>
      <c r="L101" s="123"/>
      <c r="M101" s="123"/>
      <c r="N101" s="123"/>
      <c r="O101" s="125" t="s">
        <v>1861</v>
      </c>
      <c r="P101" s="126"/>
      <c r="Q101" s="126"/>
      <c r="R101" s="40"/>
      <c r="S101" s="40"/>
      <c r="T101" s="116">
        <v>12</v>
      </c>
      <c r="U101" s="127">
        <v>0</v>
      </c>
      <c r="V101" s="9" t="s">
        <v>1751</v>
      </c>
      <c r="W101" s="9"/>
      <c r="X101" s="9">
        <v>2008</v>
      </c>
      <c r="Y101" s="126"/>
      <c r="Z101" s="126"/>
      <c r="AA101" s="128" t="s">
        <v>1726</v>
      </c>
      <c r="AB101" s="129" t="s">
        <v>1862</v>
      </c>
      <c r="AC101" s="130"/>
      <c r="AD101" s="129"/>
      <c r="AE101" s="129" t="s">
        <v>124</v>
      </c>
      <c r="AF101" s="129" t="s">
        <v>124</v>
      </c>
      <c r="AG101" s="131" t="s">
        <v>124</v>
      </c>
      <c r="AH101" s="131" t="s">
        <v>124</v>
      </c>
      <c r="AI101" s="131" t="s">
        <v>124</v>
      </c>
      <c r="AJ101" s="130" t="s">
        <v>88</v>
      </c>
      <c r="AK101" s="126" t="s">
        <v>1863</v>
      </c>
      <c r="AL101" s="126">
        <v>3</v>
      </c>
      <c r="AM101" s="126">
        <v>1</v>
      </c>
      <c r="AN101" s="126" t="s">
        <v>235</v>
      </c>
      <c r="AO101" s="126" t="s">
        <v>235</v>
      </c>
      <c r="AP101" s="126" t="s">
        <v>814</v>
      </c>
      <c r="AQ101" s="126">
        <v>65314</v>
      </c>
      <c r="AR101" s="126" t="s">
        <v>1864</v>
      </c>
      <c r="AS101" s="126"/>
      <c r="AT101" s="130"/>
      <c r="AU101" s="130"/>
      <c r="AV101" s="132" t="s">
        <v>1861</v>
      </c>
      <c r="AW101" s="126"/>
      <c r="AX101" s="126"/>
      <c r="AY101" s="126"/>
      <c r="AZ101" s="126"/>
      <c r="BA101" s="126"/>
      <c r="BB101" s="126"/>
      <c r="BC101" s="126"/>
      <c r="BD101" s="126"/>
      <c r="BE101" s="126" t="str">
        <f t="shared" si="21"/>
        <v>-</v>
      </c>
      <c r="BF101" s="133"/>
      <c r="BG101" s="133"/>
      <c r="BH101" s="126"/>
      <c r="BI101" s="126"/>
      <c r="BJ101" s="126"/>
      <c r="BK101" s="126"/>
      <c r="BL101" s="126"/>
      <c r="BM101" s="126"/>
      <c r="BN101" s="134"/>
      <c r="BO101" s="126" t="s">
        <v>1865</v>
      </c>
      <c r="BP101" s="126" t="s">
        <v>1866</v>
      </c>
      <c r="BQ101" s="126" t="s">
        <v>1864</v>
      </c>
      <c r="BR101" s="126"/>
      <c r="BS101" s="126"/>
      <c r="BT101" s="126"/>
      <c r="BV101" s="40"/>
      <c r="BW101" s="126"/>
      <c r="BX101" s="15">
        <f t="shared" si="20"/>
        <v>13</v>
      </c>
    </row>
    <row r="102" spans="1:76" s="135" customFormat="1" ht="18.75" customHeight="1" x14ac:dyDescent="0.25">
      <c r="A102" s="16">
        <v>18</v>
      </c>
      <c r="B102" s="122" t="s">
        <v>1867</v>
      </c>
      <c r="C102" s="123" t="s">
        <v>1868</v>
      </c>
      <c r="D102" s="9" t="s">
        <v>70</v>
      </c>
      <c r="E102" s="124"/>
      <c r="F102" s="124">
        <v>1</v>
      </c>
      <c r="G102" s="9" t="s">
        <v>124</v>
      </c>
      <c r="H102" s="9" t="s">
        <v>124</v>
      </c>
      <c r="I102" s="9" t="s">
        <v>1504</v>
      </c>
      <c r="J102" s="9" t="s">
        <v>124</v>
      </c>
      <c r="K102" s="9" t="s">
        <v>124</v>
      </c>
      <c r="L102" s="123"/>
      <c r="M102" s="123"/>
      <c r="N102" s="123"/>
      <c r="O102" s="125" t="s">
        <v>1869</v>
      </c>
      <c r="P102" s="126"/>
      <c r="Q102" s="126"/>
      <c r="R102" s="40"/>
      <c r="S102" s="40"/>
      <c r="T102" s="116">
        <v>12</v>
      </c>
      <c r="U102" s="127">
        <v>0</v>
      </c>
      <c r="V102" s="9" t="s">
        <v>1819</v>
      </c>
      <c r="W102" s="9"/>
      <c r="X102" s="9">
        <v>2008</v>
      </c>
      <c r="Y102" s="126"/>
      <c r="Z102" s="126"/>
      <c r="AA102" s="128" t="s">
        <v>1870</v>
      </c>
      <c r="AB102" s="129" t="s">
        <v>1871</v>
      </c>
      <c r="AC102" s="130"/>
      <c r="AD102" s="129"/>
      <c r="AE102" s="129" t="s">
        <v>124</v>
      </c>
      <c r="AF102" s="129" t="s">
        <v>124</v>
      </c>
      <c r="AG102" s="131" t="s">
        <v>124</v>
      </c>
      <c r="AH102" s="131" t="s">
        <v>124</v>
      </c>
      <c r="AI102" s="131" t="s">
        <v>124</v>
      </c>
      <c r="AJ102" s="130" t="s">
        <v>88</v>
      </c>
      <c r="AK102" s="126" t="s">
        <v>1872</v>
      </c>
      <c r="AL102" s="126">
        <v>2</v>
      </c>
      <c r="AM102" s="126">
        <v>6</v>
      </c>
      <c r="AN102" s="126" t="s">
        <v>235</v>
      </c>
      <c r="AO102" s="126" t="s">
        <v>235</v>
      </c>
      <c r="AP102" s="126" t="s">
        <v>814</v>
      </c>
      <c r="AQ102" s="126">
        <v>65314</v>
      </c>
      <c r="AR102" s="126" t="s">
        <v>1873</v>
      </c>
      <c r="AS102" s="126"/>
      <c r="AT102" s="130"/>
      <c r="AU102" s="130"/>
      <c r="AV102" s="132" t="s">
        <v>1869</v>
      </c>
      <c r="AW102" s="126"/>
      <c r="AX102" s="126"/>
      <c r="AY102" s="126"/>
      <c r="AZ102" s="126"/>
      <c r="BA102" s="126"/>
      <c r="BB102" s="126"/>
      <c r="BC102" s="126"/>
      <c r="BD102" s="126"/>
      <c r="BE102" s="126" t="str">
        <f t="shared" si="21"/>
        <v>-</v>
      </c>
      <c r="BF102" s="133"/>
      <c r="BG102" s="133"/>
      <c r="BH102" s="126"/>
      <c r="BI102" s="126"/>
      <c r="BJ102" s="126"/>
      <c r="BK102" s="126"/>
      <c r="BL102" s="126"/>
      <c r="BM102" s="126"/>
      <c r="BN102" s="134"/>
      <c r="BO102" s="126" t="s">
        <v>1874</v>
      </c>
      <c r="BP102" s="126" t="s">
        <v>1875</v>
      </c>
      <c r="BQ102" s="126" t="s">
        <v>1873</v>
      </c>
      <c r="BR102" s="126"/>
      <c r="BS102" s="126"/>
      <c r="BT102" s="126"/>
      <c r="BV102" s="40"/>
      <c r="BW102" s="126"/>
      <c r="BX102" s="15">
        <f t="shared" si="20"/>
        <v>13</v>
      </c>
    </row>
    <row r="103" spans="1:76" s="135" customFormat="1" ht="18.75" customHeight="1" x14ac:dyDescent="0.25">
      <c r="A103" s="16">
        <v>19</v>
      </c>
      <c r="B103" s="122" t="s">
        <v>1876</v>
      </c>
      <c r="C103" s="123" t="s">
        <v>1877</v>
      </c>
      <c r="D103" s="9" t="s">
        <v>69</v>
      </c>
      <c r="E103" s="124">
        <v>1</v>
      </c>
      <c r="F103" s="124"/>
      <c r="G103" s="9" t="s">
        <v>124</v>
      </c>
      <c r="H103" s="9" t="s">
        <v>124</v>
      </c>
      <c r="I103" s="9" t="s">
        <v>1504</v>
      </c>
      <c r="J103" s="9" t="s">
        <v>124</v>
      </c>
      <c r="K103" s="9" t="s">
        <v>124</v>
      </c>
      <c r="L103" s="123"/>
      <c r="M103" s="123"/>
      <c r="N103" s="123"/>
      <c r="O103" s="125" t="s">
        <v>1878</v>
      </c>
      <c r="P103" s="126"/>
      <c r="Q103" s="126"/>
      <c r="R103" s="40"/>
      <c r="S103" s="40"/>
      <c r="T103" s="116">
        <v>10</v>
      </c>
      <c r="U103" s="127">
        <v>11</v>
      </c>
      <c r="V103" s="9" t="s">
        <v>1837</v>
      </c>
      <c r="W103" s="9"/>
      <c r="X103" s="9">
        <v>1996</v>
      </c>
      <c r="Y103" s="126"/>
      <c r="Z103" s="126"/>
      <c r="AA103" s="128" t="s">
        <v>1846</v>
      </c>
      <c r="AB103" s="129" t="s">
        <v>1879</v>
      </c>
      <c r="AC103" s="130"/>
      <c r="AD103" s="129"/>
      <c r="AE103" s="129" t="s">
        <v>124</v>
      </c>
      <c r="AF103" s="129" t="s">
        <v>124</v>
      </c>
      <c r="AG103" s="131" t="s">
        <v>124</v>
      </c>
      <c r="AH103" s="131" t="s">
        <v>124</v>
      </c>
      <c r="AI103" s="131" t="s">
        <v>124</v>
      </c>
      <c r="AJ103" s="130" t="s">
        <v>88</v>
      </c>
      <c r="AK103" s="126" t="s">
        <v>1880</v>
      </c>
      <c r="AL103" s="126">
        <v>3</v>
      </c>
      <c r="AM103" s="126">
        <v>1</v>
      </c>
      <c r="AN103" s="126" t="s">
        <v>235</v>
      </c>
      <c r="AO103" s="126" t="s">
        <v>235</v>
      </c>
      <c r="AP103" s="126" t="s">
        <v>814</v>
      </c>
      <c r="AQ103" s="126">
        <v>65314</v>
      </c>
      <c r="AR103" s="126" t="s">
        <v>1881</v>
      </c>
      <c r="AS103" s="126"/>
      <c r="AT103" s="130"/>
      <c r="AU103" s="130"/>
      <c r="AV103" s="132" t="s">
        <v>1878</v>
      </c>
      <c r="AW103" s="126"/>
      <c r="AX103" s="126"/>
      <c r="AY103" s="126"/>
      <c r="AZ103" s="126"/>
      <c r="BA103" s="126"/>
      <c r="BB103" s="126"/>
      <c r="BC103" s="126"/>
      <c r="BD103" s="126"/>
      <c r="BE103" s="126" t="str">
        <f t="shared" si="21"/>
        <v>-</v>
      </c>
      <c r="BF103" s="133"/>
      <c r="BG103" s="133"/>
      <c r="BH103" s="126"/>
      <c r="BI103" s="126"/>
      <c r="BJ103" s="126"/>
      <c r="BK103" s="126"/>
      <c r="BL103" s="126"/>
      <c r="BM103" s="126"/>
      <c r="BN103" s="134"/>
      <c r="BO103" s="126" t="s">
        <v>1882</v>
      </c>
      <c r="BP103" s="126" t="s">
        <v>1883</v>
      </c>
      <c r="BQ103" s="126" t="s">
        <v>1881</v>
      </c>
      <c r="BR103" s="126"/>
      <c r="BS103" s="126"/>
      <c r="BT103" s="126"/>
      <c r="BV103" s="40"/>
      <c r="BW103" s="126"/>
      <c r="BX103" s="15">
        <f t="shared" si="20"/>
        <v>11</v>
      </c>
    </row>
    <row r="104" spans="1:76" s="135" customFormat="1" ht="18.75" customHeight="1" x14ac:dyDescent="0.25">
      <c r="A104" s="16">
        <v>20</v>
      </c>
      <c r="B104" s="122" t="s">
        <v>1884</v>
      </c>
      <c r="C104" s="123" t="s">
        <v>1885</v>
      </c>
      <c r="D104" s="9" t="s">
        <v>69</v>
      </c>
      <c r="E104" s="124">
        <v>1</v>
      </c>
      <c r="F104" s="124"/>
      <c r="G104" s="9" t="s">
        <v>124</v>
      </c>
      <c r="H104" s="9" t="s">
        <v>124</v>
      </c>
      <c r="I104" s="9" t="s">
        <v>1504</v>
      </c>
      <c r="J104" s="9" t="s">
        <v>124</v>
      </c>
      <c r="K104" s="9" t="s">
        <v>124</v>
      </c>
      <c r="L104" s="123"/>
      <c r="M104" s="123"/>
      <c r="N104" s="123"/>
      <c r="O104" s="125" t="s">
        <v>1886</v>
      </c>
      <c r="P104" s="126"/>
      <c r="Q104" s="126"/>
      <c r="R104" s="40"/>
      <c r="S104" s="40"/>
      <c r="T104" s="116">
        <v>10</v>
      </c>
      <c r="U104" s="127">
        <v>5</v>
      </c>
      <c r="V104" s="9" t="s">
        <v>1751</v>
      </c>
      <c r="W104" s="9"/>
      <c r="X104" s="9">
        <v>2011</v>
      </c>
      <c r="Y104" s="126"/>
      <c r="Z104" s="126"/>
      <c r="AA104" s="128" t="s">
        <v>1807</v>
      </c>
      <c r="AB104" s="129" t="s">
        <v>124</v>
      </c>
      <c r="AC104" s="130"/>
      <c r="AD104" s="129"/>
      <c r="AE104" s="129" t="s">
        <v>124</v>
      </c>
      <c r="AF104" s="129" t="s">
        <v>124</v>
      </c>
      <c r="AG104" s="131" t="s">
        <v>124</v>
      </c>
      <c r="AH104" s="131" t="s">
        <v>124</v>
      </c>
      <c r="AI104" s="131" t="s">
        <v>124</v>
      </c>
      <c r="AJ104" s="130" t="s">
        <v>88</v>
      </c>
      <c r="AK104" s="126" t="s">
        <v>1887</v>
      </c>
      <c r="AL104" s="126">
        <v>4</v>
      </c>
      <c r="AM104" s="126">
        <v>1</v>
      </c>
      <c r="AN104" s="126" t="s">
        <v>235</v>
      </c>
      <c r="AO104" s="126" t="s">
        <v>235</v>
      </c>
      <c r="AP104" s="126" t="s">
        <v>814</v>
      </c>
      <c r="AQ104" s="126">
        <v>65314</v>
      </c>
      <c r="AR104" s="126" t="s">
        <v>1888</v>
      </c>
      <c r="AS104" s="126"/>
      <c r="AT104" s="130"/>
      <c r="AU104" s="130"/>
      <c r="AV104" s="132" t="s">
        <v>1886</v>
      </c>
      <c r="AW104" s="126"/>
      <c r="AX104" s="126"/>
      <c r="AY104" s="126"/>
      <c r="AZ104" s="126"/>
      <c r="BA104" s="126"/>
      <c r="BB104" s="126"/>
      <c r="BC104" s="126"/>
      <c r="BD104" s="126"/>
      <c r="BE104" s="126" t="str">
        <f t="shared" si="21"/>
        <v>-</v>
      </c>
      <c r="BF104" s="133"/>
      <c r="BG104" s="133"/>
      <c r="BH104" s="126"/>
      <c r="BI104" s="126"/>
      <c r="BJ104" s="126"/>
      <c r="BK104" s="126"/>
      <c r="BL104" s="126"/>
      <c r="BM104" s="126"/>
      <c r="BN104" s="134"/>
      <c r="BO104" s="126" t="s">
        <v>1889</v>
      </c>
      <c r="BP104" s="126" t="s">
        <v>1890</v>
      </c>
      <c r="BQ104" s="126" t="s">
        <v>1888</v>
      </c>
      <c r="BR104" s="126"/>
      <c r="BS104" s="126"/>
      <c r="BT104" s="126"/>
      <c r="BV104" s="40"/>
      <c r="BW104" s="126"/>
      <c r="BX104" s="15">
        <f t="shared" si="20"/>
        <v>11</v>
      </c>
    </row>
    <row r="105" spans="1:76" s="135" customFormat="1" ht="18.75" customHeight="1" x14ac:dyDescent="0.25">
      <c r="A105" s="16">
        <v>21</v>
      </c>
      <c r="B105" s="122" t="s">
        <v>1891</v>
      </c>
      <c r="C105" s="123" t="s">
        <v>1892</v>
      </c>
      <c r="D105" s="9" t="s">
        <v>69</v>
      </c>
      <c r="E105" s="124">
        <v>1</v>
      </c>
      <c r="F105" s="124"/>
      <c r="G105" s="9" t="s">
        <v>124</v>
      </c>
      <c r="H105" s="9" t="s">
        <v>124</v>
      </c>
      <c r="I105" s="9" t="s">
        <v>1504</v>
      </c>
      <c r="J105" s="9" t="s">
        <v>124</v>
      </c>
      <c r="K105" s="9" t="s">
        <v>124</v>
      </c>
      <c r="L105" s="123"/>
      <c r="M105" s="123"/>
      <c r="N105" s="123"/>
      <c r="O105" s="125" t="s">
        <v>1886</v>
      </c>
      <c r="P105" s="126"/>
      <c r="Q105" s="126"/>
      <c r="R105" s="40"/>
      <c r="S105" s="40"/>
      <c r="T105" s="116">
        <v>10</v>
      </c>
      <c r="U105" s="127">
        <v>5</v>
      </c>
      <c r="V105" s="9" t="s">
        <v>1819</v>
      </c>
      <c r="W105" s="9"/>
      <c r="X105" s="9">
        <v>1998</v>
      </c>
      <c r="Y105" s="126"/>
      <c r="Z105" s="126"/>
      <c r="AA105" s="128" t="s">
        <v>1870</v>
      </c>
      <c r="AB105" s="129" t="s">
        <v>124</v>
      </c>
      <c r="AC105" s="130"/>
      <c r="AD105" s="129"/>
      <c r="AE105" s="129" t="s">
        <v>124</v>
      </c>
      <c r="AF105" s="129" t="s">
        <v>124</v>
      </c>
      <c r="AG105" s="131" t="s">
        <v>124</v>
      </c>
      <c r="AH105" s="131" t="s">
        <v>124</v>
      </c>
      <c r="AI105" s="131" t="s">
        <v>124</v>
      </c>
      <c r="AJ105" s="130" t="s">
        <v>88</v>
      </c>
      <c r="AK105" s="126" t="s">
        <v>1863</v>
      </c>
      <c r="AL105" s="126">
        <v>3</v>
      </c>
      <c r="AM105" s="126">
        <v>1</v>
      </c>
      <c r="AN105" s="126" t="s">
        <v>235</v>
      </c>
      <c r="AO105" s="126" t="s">
        <v>235</v>
      </c>
      <c r="AP105" s="126" t="s">
        <v>814</v>
      </c>
      <c r="AQ105" s="126">
        <v>65314</v>
      </c>
      <c r="AR105" s="126" t="s">
        <v>1893</v>
      </c>
      <c r="AS105" s="126"/>
      <c r="AT105" s="130"/>
      <c r="AU105" s="130"/>
      <c r="AV105" s="132" t="s">
        <v>1886</v>
      </c>
      <c r="AW105" s="126"/>
      <c r="AX105" s="126"/>
      <c r="AY105" s="126"/>
      <c r="AZ105" s="126"/>
      <c r="BA105" s="126"/>
      <c r="BB105" s="126"/>
      <c r="BC105" s="126"/>
      <c r="BD105" s="126"/>
      <c r="BE105" s="126" t="str">
        <f t="shared" si="21"/>
        <v>-</v>
      </c>
      <c r="BF105" s="133"/>
      <c r="BG105" s="133"/>
      <c r="BH105" s="126"/>
      <c r="BI105" s="126"/>
      <c r="BJ105" s="126"/>
      <c r="BK105" s="126"/>
      <c r="BL105" s="126"/>
      <c r="BM105" s="126"/>
      <c r="BN105" s="134"/>
      <c r="BO105" s="126" t="s">
        <v>1894</v>
      </c>
      <c r="BP105" s="126" t="s">
        <v>1895</v>
      </c>
      <c r="BQ105" s="126" t="s">
        <v>1893</v>
      </c>
      <c r="BR105" s="126"/>
      <c r="BS105" s="126"/>
      <c r="BT105" s="126"/>
      <c r="BV105" s="40"/>
      <c r="BW105" s="126"/>
      <c r="BX105" s="15">
        <f t="shared" si="20"/>
        <v>11</v>
      </c>
    </row>
    <row r="106" spans="1:76" s="135" customFormat="1" ht="18.75" customHeight="1" x14ac:dyDescent="0.25">
      <c r="A106" s="16">
        <v>22</v>
      </c>
      <c r="B106" s="122" t="s">
        <v>1896</v>
      </c>
      <c r="C106" s="123" t="s">
        <v>1897</v>
      </c>
      <c r="D106" s="9" t="s">
        <v>69</v>
      </c>
      <c r="E106" s="124">
        <v>1</v>
      </c>
      <c r="F106" s="124"/>
      <c r="G106" s="9" t="s">
        <v>124</v>
      </c>
      <c r="H106" s="9" t="s">
        <v>124</v>
      </c>
      <c r="I106" s="9" t="s">
        <v>1504</v>
      </c>
      <c r="J106" s="9" t="s">
        <v>124</v>
      </c>
      <c r="K106" s="9" t="s">
        <v>124</v>
      </c>
      <c r="L106" s="123"/>
      <c r="M106" s="123"/>
      <c r="N106" s="123"/>
      <c r="O106" s="125" t="s">
        <v>1898</v>
      </c>
      <c r="P106" s="126"/>
      <c r="Q106" s="126"/>
      <c r="R106" s="40"/>
      <c r="S106" s="40"/>
      <c r="T106" s="116">
        <v>10</v>
      </c>
      <c r="U106" s="127">
        <v>0</v>
      </c>
      <c r="V106" s="9" t="s">
        <v>1751</v>
      </c>
      <c r="W106" s="9"/>
      <c r="X106" s="9">
        <v>1995</v>
      </c>
      <c r="Y106" s="126"/>
      <c r="Z106" s="126"/>
      <c r="AA106" s="128" t="s">
        <v>1692</v>
      </c>
      <c r="AB106" s="129" t="s">
        <v>1899</v>
      </c>
      <c r="AC106" s="130"/>
      <c r="AD106" s="129"/>
      <c r="AE106" s="129" t="s">
        <v>124</v>
      </c>
      <c r="AF106" s="129" t="s">
        <v>124</v>
      </c>
      <c r="AG106" s="131" t="s">
        <v>124</v>
      </c>
      <c r="AH106" s="131" t="s">
        <v>124</v>
      </c>
      <c r="AI106" s="131" t="s">
        <v>124</v>
      </c>
      <c r="AJ106" s="130" t="s">
        <v>88</v>
      </c>
      <c r="AK106" s="126" t="s">
        <v>1900</v>
      </c>
      <c r="AL106" s="126">
        <v>5</v>
      </c>
      <c r="AM106" s="126">
        <v>1</v>
      </c>
      <c r="AN106" s="126" t="s">
        <v>235</v>
      </c>
      <c r="AO106" s="126" t="s">
        <v>235</v>
      </c>
      <c r="AP106" s="126" t="s">
        <v>814</v>
      </c>
      <c r="AQ106" s="126">
        <v>65314</v>
      </c>
      <c r="AR106" s="126" t="s">
        <v>1901</v>
      </c>
      <c r="AS106" s="126"/>
      <c r="AT106" s="130"/>
      <c r="AU106" s="130"/>
      <c r="AV106" s="132" t="s">
        <v>1898</v>
      </c>
      <c r="AW106" s="126"/>
      <c r="AX106" s="126"/>
      <c r="AY106" s="126"/>
      <c r="AZ106" s="126"/>
      <c r="BA106" s="126"/>
      <c r="BB106" s="126"/>
      <c r="BC106" s="126"/>
      <c r="BD106" s="126"/>
      <c r="BE106" s="126" t="str">
        <f t="shared" si="21"/>
        <v>-</v>
      </c>
      <c r="BF106" s="133"/>
      <c r="BG106" s="133"/>
      <c r="BH106" s="126"/>
      <c r="BI106" s="126"/>
      <c r="BJ106" s="126"/>
      <c r="BK106" s="126"/>
      <c r="BL106" s="126"/>
      <c r="BM106" s="126"/>
      <c r="BN106" s="134"/>
      <c r="BO106" s="126" t="s">
        <v>1902</v>
      </c>
      <c r="BP106" s="126" t="s">
        <v>1903</v>
      </c>
      <c r="BQ106" s="126" t="s">
        <v>1901</v>
      </c>
      <c r="BR106" s="126"/>
      <c r="BS106" s="126"/>
      <c r="BT106" s="126"/>
      <c r="BV106" s="40"/>
      <c r="BW106" s="126"/>
      <c r="BX106" s="15">
        <f t="shared" si="20"/>
        <v>11</v>
      </c>
    </row>
    <row r="107" spans="1:76" s="135" customFormat="1" ht="18.75" customHeight="1" x14ac:dyDescent="0.25">
      <c r="A107" s="16">
        <v>23</v>
      </c>
      <c r="B107" s="122" t="s">
        <v>1904</v>
      </c>
      <c r="C107" s="123" t="s">
        <v>1905</v>
      </c>
      <c r="D107" s="9" t="s">
        <v>69</v>
      </c>
      <c r="E107" s="124">
        <v>1</v>
      </c>
      <c r="F107" s="124"/>
      <c r="G107" s="9" t="s">
        <v>124</v>
      </c>
      <c r="H107" s="9" t="s">
        <v>124</v>
      </c>
      <c r="I107" s="9" t="s">
        <v>1504</v>
      </c>
      <c r="J107" s="9" t="s">
        <v>124</v>
      </c>
      <c r="K107" s="9" t="s">
        <v>124</v>
      </c>
      <c r="L107" s="123"/>
      <c r="M107" s="123"/>
      <c r="N107" s="123"/>
      <c r="O107" s="125" t="s">
        <v>1906</v>
      </c>
      <c r="P107" s="126"/>
      <c r="Q107" s="126"/>
      <c r="R107" s="40"/>
      <c r="S107" s="40"/>
      <c r="T107" s="116">
        <v>9</v>
      </c>
      <c r="U107" s="127">
        <v>3</v>
      </c>
      <c r="V107" s="9" t="s">
        <v>1751</v>
      </c>
      <c r="W107" s="9"/>
      <c r="X107" s="9">
        <v>2002</v>
      </c>
      <c r="Y107" s="126"/>
      <c r="Z107" s="126"/>
      <c r="AA107" s="128" t="s">
        <v>1692</v>
      </c>
      <c r="AB107" s="129" t="s">
        <v>124</v>
      </c>
      <c r="AC107" s="130"/>
      <c r="AD107" s="129"/>
      <c r="AE107" s="129" t="s">
        <v>124</v>
      </c>
      <c r="AF107" s="129" t="s">
        <v>124</v>
      </c>
      <c r="AG107" s="131" t="s">
        <v>124</v>
      </c>
      <c r="AH107" s="131" t="s">
        <v>124</v>
      </c>
      <c r="AI107" s="131" t="s">
        <v>124</v>
      </c>
      <c r="AJ107" s="130" t="s">
        <v>88</v>
      </c>
      <c r="AK107" s="126" t="s">
        <v>1907</v>
      </c>
      <c r="AL107" s="126">
        <v>7</v>
      </c>
      <c r="AM107" s="126">
        <v>1</v>
      </c>
      <c r="AN107" s="126" t="s">
        <v>235</v>
      </c>
      <c r="AO107" s="126" t="s">
        <v>235</v>
      </c>
      <c r="AP107" s="126" t="s">
        <v>814</v>
      </c>
      <c r="AQ107" s="126">
        <v>65314</v>
      </c>
      <c r="AR107" s="126" t="s">
        <v>1908</v>
      </c>
      <c r="AS107" s="126"/>
      <c r="AT107" s="130"/>
      <c r="AU107" s="130"/>
      <c r="AV107" s="132" t="s">
        <v>1906</v>
      </c>
      <c r="AW107" s="126"/>
      <c r="AX107" s="126"/>
      <c r="AY107" s="126"/>
      <c r="AZ107" s="126"/>
      <c r="BA107" s="126"/>
      <c r="BB107" s="126"/>
      <c r="BC107" s="126"/>
      <c r="BD107" s="126"/>
      <c r="BE107" s="126" t="str">
        <f t="shared" si="21"/>
        <v>-</v>
      </c>
      <c r="BF107" s="133"/>
      <c r="BG107" s="133"/>
      <c r="BH107" s="126"/>
      <c r="BI107" s="126"/>
      <c r="BJ107" s="126"/>
      <c r="BK107" s="126"/>
      <c r="BL107" s="126"/>
      <c r="BM107" s="126"/>
      <c r="BN107" s="134"/>
      <c r="BO107" s="126" t="s">
        <v>1909</v>
      </c>
      <c r="BP107" s="126" t="s">
        <v>1910</v>
      </c>
      <c r="BQ107" s="126" t="s">
        <v>1908</v>
      </c>
      <c r="BR107" s="126"/>
      <c r="BS107" s="126"/>
      <c r="BT107" s="126"/>
      <c r="BV107" s="40"/>
      <c r="BW107" s="126"/>
      <c r="BX107" s="15">
        <f t="shared" si="20"/>
        <v>10</v>
      </c>
    </row>
    <row r="108" spans="1:76" s="135" customFormat="1" ht="18.75" customHeight="1" x14ac:dyDescent="0.25">
      <c r="A108" s="16">
        <v>24</v>
      </c>
      <c r="B108" s="122" t="s">
        <v>1911</v>
      </c>
      <c r="C108" s="123" t="s">
        <v>1912</v>
      </c>
      <c r="D108" s="9" t="s">
        <v>69</v>
      </c>
      <c r="E108" s="124">
        <v>1</v>
      </c>
      <c r="F108" s="124"/>
      <c r="G108" s="9" t="s">
        <v>124</v>
      </c>
      <c r="H108" s="9" t="s">
        <v>124</v>
      </c>
      <c r="I108" s="9" t="s">
        <v>1504</v>
      </c>
      <c r="J108" s="9" t="s">
        <v>124</v>
      </c>
      <c r="K108" s="9" t="s">
        <v>124</v>
      </c>
      <c r="L108" s="123"/>
      <c r="M108" s="123"/>
      <c r="N108" s="123"/>
      <c r="O108" s="125" t="s">
        <v>1913</v>
      </c>
      <c r="P108" s="126"/>
      <c r="Q108" s="126"/>
      <c r="R108" s="40"/>
      <c r="S108" s="40"/>
      <c r="T108" s="116">
        <v>7</v>
      </c>
      <c r="U108" s="127">
        <v>9</v>
      </c>
      <c r="V108" s="9" t="s">
        <v>1751</v>
      </c>
      <c r="W108" s="9"/>
      <c r="X108" s="9">
        <v>2008</v>
      </c>
      <c r="Y108" s="126"/>
      <c r="Z108" s="126"/>
      <c r="AA108" s="128" t="s">
        <v>1807</v>
      </c>
      <c r="AB108" s="129" t="s">
        <v>124</v>
      </c>
      <c r="AC108" s="130"/>
      <c r="AD108" s="129"/>
      <c r="AE108" s="129" t="s">
        <v>124</v>
      </c>
      <c r="AF108" s="129" t="s">
        <v>124</v>
      </c>
      <c r="AG108" s="131" t="s">
        <v>124</v>
      </c>
      <c r="AH108" s="131" t="s">
        <v>124</v>
      </c>
      <c r="AI108" s="131" t="s">
        <v>124</v>
      </c>
      <c r="AJ108" s="130" t="s">
        <v>88</v>
      </c>
      <c r="AK108" s="126" t="s">
        <v>1914</v>
      </c>
      <c r="AL108" s="126">
        <v>8</v>
      </c>
      <c r="AM108" s="126">
        <v>3</v>
      </c>
      <c r="AN108" s="126" t="s">
        <v>145</v>
      </c>
      <c r="AO108" s="126" t="s">
        <v>145</v>
      </c>
      <c r="AP108" s="126" t="s">
        <v>814</v>
      </c>
      <c r="AQ108" s="126">
        <v>65311</v>
      </c>
      <c r="AR108" s="126" t="s">
        <v>1915</v>
      </c>
      <c r="AS108" s="126"/>
      <c r="AT108" s="130"/>
      <c r="AU108" s="130"/>
      <c r="AV108" s="132" t="s">
        <v>1913</v>
      </c>
      <c r="AW108" s="126"/>
      <c r="AX108" s="126"/>
      <c r="AY108" s="126"/>
      <c r="AZ108" s="126"/>
      <c r="BA108" s="126"/>
      <c r="BB108" s="126"/>
      <c r="BC108" s="126"/>
      <c r="BD108" s="126"/>
      <c r="BE108" s="126" t="str">
        <f t="shared" si="21"/>
        <v>-</v>
      </c>
      <c r="BF108" s="133"/>
      <c r="BG108" s="133"/>
      <c r="BH108" s="126"/>
      <c r="BI108" s="126"/>
      <c r="BJ108" s="126"/>
      <c r="BK108" s="126"/>
      <c r="BL108" s="126"/>
      <c r="BM108" s="126"/>
      <c r="BN108" s="134"/>
      <c r="BO108" s="126" t="s">
        <v>1916</v>
      </c>
      <c r="BP108" s="126" t="s">
        <v>1917</v>
      </c>
      <c r="BQ108" s="126" t="s">
        <v>1915</v>
      </c>
      <c r="BR108" s="126"/>
      <c r="BS108" s="126"/>
      <c r="BT108" s="126"/>
      <c r="BV108" s="40"/>
      <c r="BW108" s="126"/>
      <c r="BX108" s="15">
        <f t="shared" si="20"/>
        <v>8</v>
      </c>
    </row>
    <row r="109" spans="1:76" s="135" customFormat="1" ht="18.75" customHeight="1" x14ac:dyDescent="0.25">
      <c r="A109" s="16">
        <v>25</v>
      </c>
      <c r="B109" s="122" t="s">
        <v>1918</v>
      </c>
      <c r="C109" s="123" t="s">
        <v>1919</v>
      </c>
      <c r="D109" s="9" t="s">
        <v>69</v>
      </c>
      <c r="E109" s="124">
        <v>1</v>
      </c>
      <c r="F109" s="124"/>
      <c r="G109" s="9" t="s">
        <v>124</v>
      </c>
      <c r="H109" s="9" t="s">
        <v>124</v>
      </c>
      <c r="I109" s="9" t="s">
        <v>1504</v>
      </c>
      <c r="J109" s="9" t="s">
        <v>124</v>
      </c>
      <c r="K109" s="9" t="s">
        <v>124</v>
      </c>
      <c r="L109" s="123"/>
      <c r="M109" s="123"/>
      <c r="N109" s="123"/>
      <c r="O109" s="125" t="s">
        <v>1913</v>
      </c>
      <c r="P109" s="126"/>
      <c r="Q109" s="126"/>
      <c r="R109" s="40"/>
      <c r="S109" s="40"/>
      <c r="T109" s="116">
        <v>7</v>
      </c>
      <c r="U109" s="127">
        <v>9</v>
      </c>
      <c r="V109" s="9" t="s">
        <v>1751</v>
      </c>
      <c r="W109" s="9"/>
      <c r="X109" s="9">
        <v>2013</v>
      </c>
      <c r="Y109" s="126"/>
      <c r="Z109" s="126"/>
      <c r="AA109" s="128" t="s">
        <v>1807</v>
      </c>
      <c r="AB109" s="129" t="s">
        <v>124</v>
      </c>
      <c r="AC109" s="130"/>
      <c r="AD109" s="129"/>
      <c r="AE109" s="129" t="s">
        <v>124</v>
      </c>
      <c r="AF109" s="129" t="s">
        <v>124</v>
      </c>
      <c r="AG109" s="131" t="s">
        <v>124</v>
      </c>
      <c r="AH109" s="131" t="s">
        <v>124</v>
      </c>
      <c r="AI109" s="131" t="s">
        <v>124</v>
      </c>
      <c r="AJ109" s="130" t="s">
        <v>88</v>
      </c>
      <c r="AK109" s="126" t="s">
        <v>1920</v>
      </c>
      <c r="AL109" s="126">
        <v>3</v>
      </c>
      <c r="AM109" s="126">
        <v>4</v>
      </c>
      <c r="AN109" s="126" t="s">
        <v>1781</v>
      </c>
      <c r="AO109" s="126" t="s">
        <v>1781</v>
      </c>
      <c r="AP109" s="126" t="s">
        <v>514</v>
      </c>
      <c r="AQ109" s="126">
        <v>65332</v>
      </c>
      <c r="AR109" s="126" t="s">
        <v>1921</v>
      </c>
      <c r="AS109" s="126"/>
      <c r="AT109" s="130"/>
      <c r="AU109" s="130"/>
      <c r="AV109" s="132" t="s">
        <v>1913</v>
      </c>
      <c r="AW109" s="126"/>
      <c r="AX109" s="126"/>
      <c r="AY109" s="126"/>
      <c r="AZ109" s="126"/>
      <c r="BA109" s="126"/>
      <c r="BB109" s="126"/>
      <c r="BC109" s="126"/>
      <c r="BD109" s="126"/>
      <c r="BE109" s="126" t="str">
        <f t="shared" si="21"/>
        <v>-</v>
      </c>
      <c r="BF109" s="133"/>
      <c r="BG109" s="133"/>
      <c r="BH109" s="126"/>
      <c r="BI109" s="126"/>
      <c r="BJ109" s="126"/>
      <c r="BK109" s="126"/>
      <c r="BL109" s="126"/>
      <c r="BM109" s="126"/>
      <c r="BN109" s="134"/>
      <c r="BO109" s="126" t="s">
        <v>1922</v>
      </c>
      <c r="BP109" s="126" t="s">
        <v>1923</v>
      </c>
      <c r="BQ109" s="126" t="s">
        <v>1921</v>
      </c>
      <c r="BR109" s="126"/>
      <c r="BS109" s="126"/>
      <c r="BT109" s="126"/>
      <c r="BV109" s="40"/>
      <c r="BW109" s="126"/>
      <c r="BX109" s="15">
        <f t="shared" si="20"/>
        <v>8</v>
      </c>
    </row>
    <row r="110" spans="1:76" s="135" customFormat="1" ht="18.75" customHeight="1" x14ac:dyDescent="0.25">
      <c r="A110" s="16">
        <v>26</v>
      </c>
      <c r="B110" s="122" t="s">
        <v>1924</v>
      </c>
      <c r="C110" s="123" t="s">
        <v>1925</v>
      </c>
      <c r="D110" s="9" t="s">
        <v>69</v>
      </c>
      <c r="E110" s="124">
        <v>1</v>
      </c>
      <c r="F110" s="124"/>
      <c r="G110" s="9" t="s">
        <v>124</v>
      </c>
      <c r="H110" s="9" t="s">
        <v>124</v>
      </c>
      <c r="I110" s="9" t="s">
        <v>1504</v>
      </c>
      <c r="J110" s="9" t="s">
        <v>124</v>
      </c>
      <c r="K110" s="9" t="s">
        <v>124</v>
      </c>
      <c r="L110" s="123"/>
      <c r="M110" s="123"/>
      <c r="N110" s="123"/>
      <c r="O110" s="125" t="s">
        <v>1913</v>
      </c>
      <c r="P110" s="126"/>
      <c r="Q110" s="126"/>
      <c r="R110" s="40"/>
      <c r="S110" s="40"/>
      <c r="T110" s="116">
        <v>7</v>
      </c>
      <c r="U110" s="127">
        <v>9</v>
      </c>
      <c r="V110" s="9" t="s">
        <v>1819</v>
      </c>
      <c r="W110" s="9"/>
      <c r="X110" s="9">
        <v>1999</v>
      </c>
      <c r="Y110" s="126"/>
      <c r="Z110" s="126"/>
      <c r="AA110" s="128" t="s">
        <v>1926</v>
      </c>
      <c r="AB110" s="129" t="s">
        <v>124</v>
      </c>
      <c r="AC110" s="130"/>
      <c r="AD110" s="129"/>
      <c r="AE110" s="129" t="s">
        <v>124</v>
      </c>
      <c r="AF110" s="129" t="s">
        <v>124</v>
      </c>
      <c r="AG110" s="131" t="s">
        <v>124</v>
      </c>
      <c r="AH110" s="131" t="s">
        <v>124</v>
      </c>
      <c r="AI110" s="131" t="s">
        <v>124</v>
      </c>
      <c r="AJ110" s="130" t="s">
        <v>88</v>
      </c>
      <c r="AK110" s="126" t="s">
        <v>1927</v>
      </c>
      <c r="AL110" s="126">
        <v>5</v>
      </c>
      <c r="AM110" s="126">
        <v>1</v>
      </c>
      <c r="AN110" s="126" t="s">
        <v>235</v>
      </c>
      <c r="AO110" s="126" t="s">
        <v>235</v>
      </c>
      <c r="AP110" s="126" t="s">
        <v>814</v>
      </c>
      <c r="AQ110" s="126">
        <v>65314</v>
      </c>
      <c r="AR110" s="126" t="s">
        <v>1928</v>
      </c>
      <c r="AS110" s="126"/>
      <c r="AT110" s="130"/>
      <c r="AU110" s="130"/>
      <c r="AV110" s="132" t="s">
        <v>1913</v>
      </c>
      <c r="AW110" s="126"/>
      <c r="AX110" s="126"/>
      <c r="AY110" s="126"/>
      <c r="AZ110" s="126"/>
      <c r="BA110" s="126"/>
      <c r="BB110" s="126"/>
      <c r="BC110" s="126"/>
      <c r="BD110" s="126"/>
      <c r="BE110" s="126" t="str">
        <f t="shared" si="21"/>
        <v>-</v>
      </c>
      <c r="BF110" s="133"/>
      <c r="BG110" s="133"/>
      <c r="BH110" s="126"/>
      <c r="BI110" s="126"/>
      <c r="BJ110" s="126"/>
      <c r="BK110" s="126"/>
      <c r="BL110" s="126"/>
      <c r="BM110" s="126"/>
      <c r="BN110" s="134"/>
      <c r="BO110" s="126" t="s">
        <v>1929</v>
      </c>
      <c r="BP110" s="126" t="s">
        <v>1930</v>
      </c>
      <c r="BQ110" s="126" t="s">
        <v>1928</v>
      </c>
      <c r="BR110" s="126"/>
      <c r="BS110" s="126"/>
      <c r="BT110" s="126"/>
      <c r="BV110" s="40"/>
      <c r="BW110" s="126"/>
      <c r="BX110" s="15">
        <f t="shared" si="20"/>
        <v>8</v>
      </c>
    </row>
    <row r="111" spans="1:76" s="135" customFormat="1" ht="18.75" customHeight="1" x14ac:dyDescent="0.25">
      <c r="A111" s="16">
        <v>27</v>
      </c>
      <c r="B111" s="122" t="s">
        <v>1931</v>
      </c>
      <c r="C111" s="123" t="s">
        <v>1932</v>
      </c>
      <c r="D111" s="9" t="s">
        <v>70</v>
      </c>
      <c r="E111" s="124"/>
      <c r="F111" s="124">
        <v>1</v>
      </c>
      <c r="G111" s="9" t="s">
        <v>124</v>
      </c>
      <c r="H111" s="9" t="s">
        <v>124</v>
      </c>
      <c r="I111" s="9" t="s">
        <v>1504</v>
      </c>
      <c r="J111" s="9" t="s">
        <v>124</v>
      </c>
      <c r="K111" s="9" t="s">
        <v>124</v>
      </c>
      <c r="L111" s="123"/>
      <c r="M111" s="123"/>
      <c r="N111" s="123"/>
      <c r="O111" s="125" t="s">
        <v>1933</v>
      </c>
      <c r="P111" s="126"/>
      <c r="Q111" s="126"/>
      <c r="R111" s="40"/>
      <c r="S111" s="40"/>
      <c r="T111" s="116">
        <v>7</v>
      </c>
      <c r="U111" s="127">
        <v>6</v>
      </c>
      <c r="V111" s="9" t="s">
        <v>1751</v>
      </c>
      <c r="W111" s="9"/>
      <c r="X111" s="9">
        <v>2009</v>
      </c>
      <c r="Y111" s="126"/>
      <c r="Z111" s="126"/>
      <c r="AA111" s="128" t="s">
        <v>1934</v>
      </c>
      <c r="AB111" s="129" t="s">
        <v>124</v>
      </c>
      <c r="AC111" s="130"/>
      <c r="AD111" s="129"/>
      <c r="AE111" s="129" t="s">
        <v>124</v>
      </c>
      <c r="AF111" s="129" t="s">
        <v>124</v>
      </c>
      <c r="AG111" s="131" t="s">
        <v>124</v>
      </c>
      <c r="AH111" s="131" t="s">
        <v>124</v>
      </c>
      <c r="AI111" s="131" t="s">
        <v>124</v>
      </c>
      <c r="AJ111" s="130" t="s">
        <v>88</v>
      </c>
      <c r="AK111" s="126" t="s">
        <v>1935</v>
      </c>
      <c r="AL111" s="126">
        <v>2</v>
      </c>
      <c r="AM111" s="126">
        <v>9</v>
      </c>
      <c r="AN111" s="126" t="s">
        <v>439</v>
      </c>
      <c r="AO111" s="126" t="s">
        <v>439</v>
      </c>
      <c r="AP111" s="126" t="s">
        <v>1936</v>
      </c>
      <c r="AQ111" s="126">
        <v>65317</v>
      </c>
      <c r="AR111" s="126" t="s">
        <v>1937</v>
      </c>
      <c r="AS111" s="126"/>
      <c r="AT111" s="130"/>
      <c r="AU111" s="130"/>
      <c r="AV111" s="132" t="s">
        <v>1933</v>
      </c>
      <c r="AW111" s="126"/>
      <c r="AX111" s="126"/>
      <c r="AY111" s="126"/>
      <c r="AZ111" s="126"/>
      <c r="BA111" s="126"/>
      <c r="BB111" s="126"/>
      <c r="BC111" s="126"/>
      <c r="BD111" s="126"/>
      <c r="BE111" s="126" t="str">
        <f t="shared" si="21"/>
        <v>-</v>
      </c>
      <c r="BF111" s="133"/>
      <c r="BG111" s="133"/>
      <c r="BH111" s="126"/>
      <c r="BI111" s="126"/>
      <c r="BJ111" s="126"/>
      <c r="BK111" s="126"/>
      <c r="BL111" s="126"/>
      <c r="BM111" s="126"/>
      <c r="BN111" s="134"/>
      <c r="BO111" s="126" t="s">
        <v>1938</v>
      </c>
      <c r="BP111" s="126" t="s">
        <v>1939</v>
      </c>
      <c r="BQ111" s="126" t="s">
        <v>1937</v>
      </c>
      <c r="BR111" s="126"/>
      <c r="BS111" s="126"/>
      <c r="BT111" s="126"/>
      <c r="BV111" s="40"/>
      <c r="BW111" s="126"/>
      <c r="BX111" s="15">
        <f t="shared" si="20"/>
        <v>8</v>
      </c>
    </row>
    <row r="112" spans="1:76" s="135" customFormat="1" ht="18.75" customHeight="1" x14ac:dyDescent="0.25">
      <c r="A112" s="16">
        <v>28</v>
      </c>
      <c r="B112" s="122" t="s">
        <v>1940</v>
      </c>
      <c r="C112" s="123" t="s">
        <v>1941</v>
      </c>
      <c r="D112" s="9" t="s">
        <v>69</v>
      </c>
      <c r="E112" s="124">
        <v>1</v>
      </c>
      <c r="F112" s="124"/>
      <c r="G112" s="9" t="s">
        <v>124</v>
      </c>
      <c r="H112" s="9" t="s">
        <v>124</v>
      </c>
      <c r="I112" s="9" t="s">
        <v>1504</v>
      </c>
      <c r="J112" s="9" t="s">
        <v>124</v>
      </c>
      <c r="K112" s="9" t="s">
        <v>124</v>
      </c>
      <c r="L112" s="123"/>
      <c r="M112" s="123"/>
      <c r="N112" s="123"/>
      <c r="O112" s="125" t="s">
        <v>1942</v>
      </c>
      <c r="P112" s="126"/>
      <c r="Q112" s="126"/>
      <c r="R112" s="40"/>
      <c r="S112" s="40"/>
      <c r="T112" s="116">
        <v>6</v>
      </c>
      <c r="U112" s="127">
        <v>10</v>
      </c>
      <c r="V112" s="9" t="s">
        <v>1751</v>
      </c>
      <c r="W112" s="9"/>
      <c r="X112" s="9">
        <v>1988</v>
      </c>
      <c r="Y112" s="126"/>
      <c r="Z112" s="126"/>
      <c r="AA112" s="128" t="s">
        <v>1943</v>
      </c>
      <c r="AB112" s="129" t="s">
        <v>124</v>
      </c>
      <c r="AC112" s="130"/>
      <c r="AD112" s="129"/>
      <c r="AE112" s="129" t="s">
        <v>124</v>
      </c>
      <c r="AF112" s="129" t="s">
        <v>124</v>
      </c>
      <c r="AG112" s="131" t="s">
        <v>124</v>
      </c>
      <c r="AH112" s="131" t="s">
        <v>124</v>
      </c>
      <c r="AI112" s="131" t="s">
        <v>124</v>
      </c>
      <c r="AJ112" s="130" t="s">
        <v>88</v>
      </c>
      <c r="AK112" s="126" t="s">
        <v>1944</v>
      </c>
      <c r="AL112" s="126">
        <v>6</v>
      </c>
      <c r="AM112" s="126">
        <v>1</v>
      </c>
      <c r="AN112" s="126" t="s">
        <v>1945</v>
      </c>
      <c r="AO112" s="126" t="s">
        <v>1945</v>
      </c>
      <c r="AP112" s="126" t="s">
        <v>1946</v>
      </c>
      <c r="AQ112" s="126">
        <v>65139</v>
      </c>
      <c r="AR112" s="126" t="s">
        <v>1947</v>
      </c>
      <c r="AS112" s="126"/>
      <c r="AT112" s="130"/>
      <c r="AU112" s="130"/>
      <c r="AV112" s="132" t="s">
        <v>1942</v>
      </c>
      <c r="AW112" s="126"/>
      <c r="AX112" s="126"/>
      <c r="AY112" s="126"/>
      <c r="AZ112" s="126"/>
      <c r="BA112" s="126"/>
      <c r="BB112" s="126"/>
      <c r="BC112" s="126"/>
      <c r="BD112" s="126"/>
      <c r="BE112" s="126" t="str">
        <f t="shared" si="21"/>
        <v>-</v>
      </c>
      <c r="BF112" s="133"/>
      <c r="BG112" s="133"/>
      <c r="BH112" s="126"/>
      <c r="BI112" s="126"/>
      <c r="BJ112" s="126"/>
      <c r="BK112" s="126"/>
      <c r="BL112" s="126"/>
      <c r="BM112" s="126"/>
      <c r="BN112" s="134"/>
      <c r="BO112" s="126" t="s">
        <v>1948</v>
      </c>
      <c r="BP112" s="126" t="s">
        <v>1949</v>
      </c>
      <c r="BQ112" s="126" t="s">
        <v>1947</v>
      </c>
      <c r="BR112" s="126"/>
      <c r="BS112" s="126"/>
      <c r="BT112" s="126"/>
      <c r="BV112" s="40"/>
      <c r="BW112" s="126"/>
      <c r="BX112" s="15">
        <f t="shared" si="20"/>
        <v>7</v>
      </c>
    </row>
    <row r="113" spans="1:76" s="135" customFormat="1" ht="18.75" customHeight="1" x14ac:dyDescent="0.25">
      <c r="A113" s="16">
        <v>29</v>
      </c>
      <c r="B113" s="122" t="s">
        <v>1950</v>
      </c>
      <c r="C113" s="123" t="s">
        <v>1951</v>
      </c>
      <c r="D113" s="9" t="s">
        <v>69</v>
      </c>
      <c r="E113" s="124">
        <v>1</v>
      </c>
      <c r="F113" s="124"/>
      <c r="G113" s="9" t="s">
        <v>124</v>
      </c>
      <c r="H113" s="9" t="s">
        <v>124</v>
      </c>
      <c r="I113" s="9" t="s">
        <v>1504</v>
      </c>
      <c r="J113" s="9" t="s">
        <v>124</v>
      </c>
      <c r="K113" s="9" t="s">
        <v>124</v>
      </c>
      <c r="L113" s="123"/>
      <c r="M113" s="123"/>
      <c r="N113" s="123"/>
      <c r="O113" s="125" t="s">
        <v>1942</v>
      </c>
      <c r="P113" s="126"/>
      <c r="Q113" s="126"/>
      <c r="R113" s="40"/>
      <c r="S113" s="40"/>
      <c r="T113" s="116">
        <v>6</v>
      </c>
      <c r="U113" s="127">
        <v>10</v>
      </c>
      <c r="V113" s="9" t="s">
        <v>1952</v>
      </c>
      <c r="W113" s="9"/>
      <c r="X113" s="9">
        <v>2010</v>
      </c>
      <c r="Y113" s="126"/>
      <c r="Z113" s="126"/>
      <c r="AA113" s="128" t="s">
        <v>1807</v>
      </c>
      <c r="AB113" s="129" t="s">
        <v>124</v>
      </c>
      <c r="AC113" s="130"/>
      <c r="AD113" s="129"/>
      <c r="AE113" s="129" t="s">
        <v>124</v>
      </c>
      <c r="AF113" s="129" t="s">
        <v>124</v>
      </c>
      <c r="AG113" s="131" t="s">
        <v>124</v>
      </c>
      <c r="AH113" s="131" t="s">
        <v>124</v>
      </c>
      <c r="AI113" s="131" t="s">
        <v>124</v>
      </c>
      <c r="AJ113" s="130" t="s">
        <v>88</v>
      </c>
      <c r="AK113" s="126" t="s">
        <v>1953</v>
      </c>
      <c r="AL113" s="126">
        <v>3</v>
      </c>
      <c r="AM113" s="126">
        <v>1</v>
      </c>
      <c r="AN113" s="126" t="s">
        <v>235</v>
      </c>
      <c r="AO113" s="126" t="s">
        <v>235</v>
      </c>
      <c r="AP113" s="126" t="s">
        <v>814</v>
      </c>
      <c r="AQ113" s="126">
        <v>65314</v>
      </c>
      <c r="AR113" s="126" t="s">
        <v>1954</v>
      </c>
      <c r="AS113" s="126"/>
      <c r="AT113" s="130"/>
      <c r="AU113" s="130"/>
      <c r="AV113" s="132" t="s">
        <v>1942</v>
      </c>
      <c r="AW113" s="126"/>
      <c r="AX113" s="126"/>
      <c r="AY113" s="126"/>
      <c r="AZ113" s="126"/>
      <c r="BA113" s="126"/>
      <c r="BB113" s="126"/>
      <c r="BC113" s="126"/>
      <c r="BD113" s="126"/>
      <c r="BE113" s="126" t="str">
        <f t="shared" si="21"/>
        <v>-</v>
      </c>
      <c r="BF113" s="133"/>
      <c r="BG113" s="133"/>
      <c r="BH113" s="126"/>
      <c r="BI113" s="126"/>
      <c r="BJ113" s="126"/>
      <c r="BK113" s="126"/>
      <c r="BL113" s="126"/>
      <c r="BM113" s="126"/>
      <c r="BN113" s="134"/>
      <c r="BO113" s="126" t="s">
        <v>1955</v>
      </c>
      <c r="BP113" s="126" t="s">
        <v>1956</v>
      </c>
      <c r="BQ113" s="126" t="s">
        <v>1954</v>
      </c>
      <c r="BR113" s="126"/>
      <c r="BS113" s="126"/>
      <c r="BT113" s="126"/>
      <c r="BV113" s="40"/>
      <c r="BW113" s="126"/>
      <c r="BX113" s="15">
        <f t="shared" si="20"/>
        <v>7</v>
      </c>
    </row>
    <row r="114" spans="1:76" s="135" customFormat="1" ht="18.75" customHeight="1" x14ac:dyDescent="0.25">
      <c r="A114" s="16">
        <v>30</v>
      </c>
      <c r="B114" s="122" t="s">
        <v>1957</v>
      </c>
      <c r="C114" s="123" t="s">
        <v>1958</v>
      </c>
      <c r="D114" s="9" t="s">
        <v>69</v>
      </c>
      <c r="E114" s="124">
        <v>1</v>
      </c>
      <c r="F114" s="124"/>
      <c r="G114" s="9" t="s">
        <v>124</v>
      </c>
      <c r="H114" s="9" t="s">
        <v>124</v>
      </c>
      <c r="I114" s="9" t="s">
        <v>1504</v>
      </c>
      <c r="J114" s="9" t="s">
        <v>124</v>
      </c>
      <c r="K114" s="9" t="s">
        <v>124</v>
      </c>
      <c r="L114" s="123"/>
      <c r="M114" s="123"/>
      <c r="N114" s="123"/>
      <c r="O114" s="136" t="s">
        <v>1959</v>
      </c>
      <c r="P114" s="126"/>
      <c r="Q114" s="126"/>
      <c r="R114" s="40"/>
      <c r="S114" s="40"/>
      <c r="T114" s="116">
        <v>3</v>
      </c>
      <c r="U114" s="72">
        <v>11</v>
      </c>
      <c r="V114" s="9" t="s">
        <v>1751</v>
      </c>
      <c r="W114" s="9"/>
      <c r="X114" s="9">
        <v>2007</v>
      </c>
      <c r="Y114" s="126"/>
      <c r="Z114" s="126"/>
      <c r="AA114" s="128" t="s">
        <v>1960</v>
      </c>
      <c r="AB114" s="129" t="s">
        <v>124</v>
      </c>
      <c r="AC114" s="129" t="s">
        <v>124</v>
      </c>
      <c r="AD114" s="129" t="s">
        <v>124</v>
      </c>
      <c r="AE114" s="129" t="s">
        <v>124</v>
      </c>
      <c r="AF114" s="129" t="s">
        <v>124</v>
      </c>
      <c r="AG114" s="129" t="s">
        <v>124</v>
      </c>
      <c r="AH114" s="129" t="s">
        <v>124</v>
      </c>
      <c r="AI114" s="129" t="s">
        <v>124</v>
      </c>
      <c r="AJ114" s="130" t="s">
        <v>88</v>
      </c>
      <c r="AK114" s="126" t="s">
        <v>1961</v>
      </c>
      <c r="AL114" s="126">
        <v>2</v>
      </c>
      <c r="AM114" s="126">
        <v>1</v>
      </c>
      <c r="AN114" s="126" t="s">
        <v>235</v>
      </c>
      <c r="AO114" s="126" t="s">
        <v>235</v>
      </c>
      <c r="AP114" s="126" t="s">
        <v>814</v>
      </c>
      <c r="AQ114" s="126">
        <v>65314</v>
      </c>
      <c r="AR114" s="126" t="s">
        <v>1962</v>
      </c>
      <c r="AS114" s="126"/>
      <c r="AT114" s="130"/>
      <c r="AU114" s="130"/>
      <c r="AV114" s="137" t="s">
        <v>1959</v>
      </c>
      <c r="AW114" s="126"/>
      <c r="AX114" s="126"/>
      <c r="AY114" s="126"/>
      <c r="AZ114" s="126"/>
      <c r="BA114" s="126"/>
      <c r="BB114" s="126"/>
      <c r="BC114" s="126"/>
      <c r="BD114" s="126"/>
      <c r="BE114" s="126" t="str">
        <f t="shared" si="21"/>
        <v>-</v>
      </c>
      <c r="BF114" s="133"/>
      <c r="BG114" s="133"/>
      <c r="BH114" s="126"/>
      <c r="BI114" s="126"/>
      <c r="BJ114" s="126"/>
      <c r="BK114" s="126"/>
      <c r="BL114" s="126"/>
      <c r="BM114" s="126"/>
      <c r="BN114" s="134"/>
      <c r="BO114" s="126" t="s">
        <v>1963</v>
      </c>
      <c r="BP114" s="126" t="s">
        <v>1964</v>
      </c>
      <c r="BQ114" s="126" t="s">
        <v>1962</v>
      </c>
      <c r="BR114" s="126"/>
      <c r="BS114" s="126"/>
      <c r="BT114" s="126"/>
      <c r="BV114" s="40"/>
      <c r="BW114" s="126"/>
      <c r="BX114" s="15">
        <f t="shared" si="20"/>
        <v>4</v>
      </c>
    </row>
    <row r="115" spans="1:76" ht="18.75" customHeight="1" x14ac:dyDescent="0.25">
      <c r="A115" s="16">
        <v>31</v>
      </c>
      <c r="B115" s="122" t="s">
        <v>1965</v>
      </c>
      <c r="C115" s="123" t="s">
        <v>1966</v>
      </c>
      <c r="D115" s="9" t="s">
        <v>1967</v>
      </c>
      <c r="E115" s="124"/>
      <c r="F115" s="124">
        <v>1</v>
      </c>
      <c r="G115" s="9" t="s">
        <v>124</v>
      </c>
      <c r="H115" s="9" t="s">
        <v>124</v>
      </c>
      <c r="I115" s="9" t="s">
        <v>1504</v>
      </c>
      <c r="J115" s="9" t="s">
        <v>124</v>
      </c>
      <c r="K115" s="9" t="s">
        <v>124</v>
      </c>
      <c r="L115" s="123"/>
      <c r="M115" s="123"/>
      <c r="N115" s="123"/>
      <c r="O115" s="136">
        <v>44378</v>
      </c>
      <c r="P115" s="126"/>
      <c r="Q115" s="126"/>
      <c r="R115" s="40"/>
      <c r="S115" s="40"/>
      <c r="T115" s="116">
        <v>0</v>
      </c>
      <c r="U115" s="72">
        <v>0</v>
      </c>
      <c r="V115" s="9" t="s">
        <v>257</v>
      </c>
      <c r="W115" s="9"/>
      <c r="X115" s="9">
        <v>2013</v>
      </c>
      <c r="Y115" s="126"/>
      <c r="Z115" s="126"/>
      <c r="AA115" s="128" t="s">
        <v>1820</v>
      </c>
      <c r="AB115" s="129" t="s">
        <v>124</v>
      </c>
      <c r="AC115" s="129" t="s">
        <v>124</v>
      </c>
      <c r="AD115" s="129" t="s">
        <v>124</v>
      </c>
      <c r="AE115" s="129" t="s">
        <v>124</v>
      </c>
      <c r="AF115" s="129" t="s">
        <v>124</v>
      </c>
      <c r="AG115" s="129" t="s">
        <v>124</v>
      </c>
      <c r="AH115" s="129" t="s">
        <v>124</v>
      </c>
      <c r="AI115" s="129" t="s">
        <v>124</v>
      </c>
      <c r="AJ115" s="130" t="s">
        <v>88</v>
      </c>
      <c r="AK115" s="126" t="s">
        <v>1968</v>
      </c>
      <c r="AL115" s="126">
        <v>5</v>
      </c>
      <c r="AM115" s="126">
        <v>7</v>
      </c>
      <c r="AN115" s="126"/>
      <c r="AO115" s="126"/>
      <c r="AP115" s="126" t="s">
        <v>1969</v>
      </c>
      <c r="AQ115" s="126"/>
      <c r="AR115" s="126"/>
      <c r="AS115" s="126"/>
      <c r="AT115" s="130"/>
      <c r="AU115" s="130"/>
      <c r="AV115" s="137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33"/>
      <c r="BG115" s="133"/>
      <c r="BH115" s="126"/>
      <c r="BI115" s="126"/>
      <c r="BJ115" s="126"/>
      <c r="BK115" s="126"/>
      <c r="BL115" s="126"/>
      <c r="BM115" s="126"/>
      <c r="BN115" s="134"/>
      <c r="BO115" s="126"/>
      <c r="BP115" s="126" t="s">
        <v>1970</v>
      </c>
      <c r="BQ115" s="126" t="s">
        <v>1971</v>
      </c>
      <c r="BR115" s="126"/>
      <c r="BS115" s="126"/>
      <c r="BT115" s="126"/>
      <c r="BU115" s="135"/>
      <c r="BV115" s="40"/>
      <c r="BW115" s="126"/>
      <c r="BX115" s="15">
        <f t="shared" si="20"/>
        <v>1</v>
      </c>
    </row>
    <row r="116" spans="1:76" x14ac:dyDescent="0.25">
      <c r="D116" s="138" t="s">
        <v>1972</v>
      </c>
      <c r="E116" s="139">
        <f>SUM(E8:E83)</f>
        <v>35</v>
      </c>
      <c r="F116" s="139">
        <f>SUM(F8:F83)</f>
        <v>40</v>
      </c>
      <c r="G116" s="4"/>
      <c r="H116" s="4"/>
    </row>
    <row r="117" spans="1:76" x14ac:dyDescent="0.25">
      <c r="D117" s="138" t="s">
        <v>1973</v>
      </c>
      <c r="E117" s="143">
        <f>SUM(E85:E115)</f>
        <v>22</v>
      </c>
      <c r="F117" s="143">
        <f>SUM(F85:F115)</f>
        <v>9</v>
      </c>
      <c r="G117" s="4"/>
      <c r="H117" s="4"/>
    </row>
    <row r="118" spans="1:76" x14ac:dyDescent="0.25">
      <c r="D118" s="144" t="s">
        <v>1974</v>
      </c>
      <c r="E118" s="145">
        <f>SUM(E116:E117)</f>
        <v>57</v>
      </c>
      <c r="F118" s="145">
        <f>SUM(F116:F117)</f>
        <v>49</v>
      </c>
    </row>
    <row r="119" spans="1:76" x14ac:dyDescent="0.25">
      <c r="D119" s="146"/>
      <c r="E119" s="146"/>
      <c r="AR119" s="3"/>
      <c r="AS119" s="3"/>
      <c r="AT119" s="147"/>
      <c r="AU119" s="141"/>
      <c r="AV119" s="141"/>
      <c r="AW119" s="148"/>
      <c r="AX119" s="148"/>
    </row>
    <row r="120" spans="1:76" x14ac:dyDescent="0.25">
      <c r="D120" s="16"/>
      <c r="E120" s="16" t="s">
        <v>69</v>
      </c>
      <c r="F120" s="16" t="s">
        <v>70</v>
      </c>
      <c r="G120" s="16" t="s">
        <v>1975</v>
      </c>
      <c r="AR120" s="3"/>
      <c r="AS120" s="3"/>
      <c r="AT120" s="147"/>
      <c r="AU120" s="141"/>
      <c r="AV120" s="141"/>
      <c r="AW120" s="148"/>
      <c r="AX120" s="148"/>
    </row>
    <row r="121" spans="1:76" x14ac:dyDescent="0.25">
      <c r="D121" s="17" t="s">
        <v>1976</v>
      </c>
      <c r="E121" s="149">
        <v>29</v>
      </c>
      <c r="F121" s="149">
        <f>SUM(F8:F66)</f>
        <v>30</v>
      </c>
      <c r="G121" s="149">
        <f>SUM(E121:F121)</f>
        <v>59</v>
      </c>
      <c r="H121" s="146"/>
      <c r="AA121" s="3"/>
      <c r="AB121" s="3"/>
      <c r="AE121" s="150"/>
      <c r="AF121" s="150"/>
      <c r="AG121" s="150"/>
      <c r="AH121" s="150"/>
      <c r="AR121" s="3"/>
      <c r="AS121" s="3"/>
      <c r="AT121" s="147"/>
      <c r="AU121" s="141"/>
      <c r="AV121" s="141"/>
      <c r="AW121" s="148"/>
      <c r="AX121" s="148"/>
    </row>
    <row r="122" spans="1:76" x14ac:dyDescent="0.25">
      <c r="D122" s="17" t="s">
        <v>1977</v>
      </c>
      <c r="E122" s="149">
        <f>SUM(E67:E83)</f>
        <v>6</v>
      </c>
      <c r="F122" s="149">
        <f>SUM(F67:F83)</f>
        <v>10</v>
      </c>
      <c r="G122" s="149">
        <f>SUM(E122:F122)</f>
        <v>16</v>
      </c>
      <c r="H122" s="146"/>
      <c r="AA122" s="3"/>
      <c r="AB122" s="3"/>
      <c r="AE122" s="150"/>
      <c r="AF122" s="150"/>
      <c r="AG122" s="150"/>
      <c r="AH122" s="150"/>
      <c r="AR122" s="3"/>
      <c r="AS122" s="3"/>
      <c r="AT122" s="147"/>
      <c r="AU122" s="141"/>
      <c r="AV122" s="141"/>
      <c r="AW122" s="148"/>
      <c r="AX122" s="148"/>
    </row>
    <row r="123" spans="1:76" x14ac:dyDescent="0.25">
      <c r="D123" s="17" t="s">
        <v>1978</v>
      </c>
      <c r="E123" s="149">
        <f>SUM(E85:E95)</f>
        <v>7</v>
      </c>
      <c r="F123" s="149">
        <v>4</v>
      </c>
      <c r="G123" s="149">
        <f>SUM(E123:F123)</f>
        <v>11</v>
      </c>
      <c r="H123" s="146"/>
      <c r="AA123" s="3"/>
      <c r="AB123" s="3"/>
      <c r="AE123" s="150"/>
      <c r="AF123" s="150"/>
      <c r="AG123" s="150"/>
      <c r="AH123" s="150"/>
      <c r="AR123" s="3"/>
      <c r="AS123" s="3"/>
      <c r="AT123" s="147"/>
      <c r="AU123" s="141"/>
      <c r="AV123" s="141"/>
      <c r="AW123" s="148"/>
      <c r="AX123" s="148"/>
    </row>
    <row r="124" spans="1:76" x14ac:dyDescent="0.25">
      <c r="D124" s="17" t="s">
        <v>1979</v>
      </c>
      <c r="E124" s="149">
        <f>SUM(E96:E115)</f>
        <v>15</v>
      </c>
      <c r="F124" s="149">
        <v>6</v>
      </c>
      <c r="G124" s="149">
        <f>SUM(E124:F124)</f>
        <v>21</v>
      </c>
      <c r="H124" s="146"/>
      <c r="AA124" s="3"/>
      <c r="AB124" s="3"/>
      <c r="AE124" s="150"/>
      <c r="AF124" s="150"/>
      <c r="AG124" s="150"/>
      <c r="AH124" s="150"/>
      <c r="AR124" s="3"/>
      <c r="AS124" s="3"/>
      <c r="AT124" s="147"/>
      <c r="AU124" s="141"/>
      <c r="AV124" s="141"/>
      <c r="AW124" s="148"/>
      <c r="AX124" s="148"/>
    </row>
    <row r="125" spans="1:76" x14ac:dyDescent="0.25">
      <c r="D125" s="69" t="s">
        <v>1974</v>
      </c>
      <c r="E125" s="151">
        <f>SUM(E121:E124)</f>
        <v>57</v>
      </c>
      <c r="F125" s="151">
        <f>SUM(F121:F124)</f>
        <v>50</v>
      </c>
      <c r="G125" s="151">
        <f>SUM(G121:G124)</f>
        <v>107</v>
      </c>
      <c r="H125" s="146"/>
      <c r="AA125" s="3"/>
      <c r="AB125" s="3"/>
      <c r="AE125" s="150"/>
      <c r="AF125" s="150"/>
      <c r="AG125" s="150"/>
      <c r="AH125" s="150"/>
      <c r="AR125" s="3"/>
      <c r="AS125" s="3"/>
      <c r="AT125" s="147"/>
      <c r="AU125" s="141"/>
      <c r="AV125" s="141"/>
      <c r="AW125" s="148"/>
      <c r="AX125" s="148"/>
    </row>
    <row r="126" spans="1:76" x14ac:dyDescent="0.25">
      <c r="E126" s="146"/>
      <c r="F126" s="146"/>
      <c r="AA126" s="3"/>
      <c r="AB126" s="3"/>
      <c r="AE126" s="150"/>
      <c r="AF126" s="150"/>
      <c r="AG126" s="150"/>
      <c r="AH126" s="150"/>
      <c r="AR126" s="3"/>
      <c r="AS126" s="3"/>
      <c r="AT126" s="147"/>
      <c r="AU126" s="141"/>
      <c r="AV126" s="141"/>
      <c r="AW126" s="148"/>
      <c r="AX126" s="148"/>
    </row>
    <row r="127" spans="1:76" x14ac:dyDescent="0.25">
      <c r="AA127" s="3"/>
      <c r="AB127" s="3"/>
      <c r="AE127" s="150"/>
      <c r="AF127" s="150"/>
      <c r="AG127" s="150"/>
      <c r="AH127" s="150"/>
      <c r="AR127" s="3"/>
      <c r="AS127" s="3"/>
      <c r="AT127" s="147"/>
      <c r="AU127" s="141"/>
      <c r="AV127" s="141"/>
      <c r="AW127" s="148"/>
      <c r="AX127" s="148"/>
    </row>
    <row r="128" spans="1:76" x14ac:dyDescent="0.25">
      <c r="AA128" s="3"/>
      <c r="AB128" s="3"/>
      <c r="AE128" s="150"/>
      <c r="AF128" s="150"/>
      <c r="AG128" s="150"/>
      <c r="AH128" s="150"/>
      <c r="AR128" s="3"/>
      <c r="AS128" s="3"/>
      <c r="AT128" s="147"/>
      <c r="AU128" s="141"/>
      <c r="AV128" s="141"/>
      <c r="AW128" s="148"/>
      <c r="AX128" s="148"/>
    </row>
    <row r="129" spans="27:50" x14ac:dyDescent="0.25">
      <c r="AA129" s="3"/>
      <c r="AB129" s="3"/>
      <c r="AE129" s="150"/>
      <c r="AF129" s="150"/>
      <c r="AG129" s="150"/>
      <c r="AH129" s="150"/>
      <c r="AR129" s="3"/>
      <c r="AS129" s="3"/>
      <c r="AT129" s="147"/>
      <c r="AU129" s="141"/>
      <c r="AV129" s="141"/>
      <c r="AW129" s="148"/>
      <c r="AX129" s="148"/>
    </row>
    <row r="130" spans="27:50" x14ac:dyDescent="0.25">
      <c r="AA130" s="3"/>
      <c r="AB130" s="3"/>
      <c r="AE130" s="150"/>
      <c r="AF130" s="150"/>
      <c r="AG130" s="150"/>
      <c r="AH130" s="150"/>
      <c r="AR130" s="3"/>
      <c r="AS130" s="3"/>
      <c r="AT130" s="147"/>
      <c r="AU130" s="141"/>
      <c r="AV130" s="141"/>
      <c r="AW130" s="148"/>
      <c r="AX130" s="148"/>
    </row>
    <row r="131" spans="27:50" x14ac:dyDescent="0.25">
      <c r="AA131" s="3"/>
      <c r="AB131" s="3"/>
      <c r="AE131" s="150"/>
      <c r="AF131" s="150"/>
      <c r="AG131" s="150"/>
      <c r="AH131" s="150"/>
      <c r="AR131" s="3"/>
      <c r="AS131" s="3"/>
      <c r="AT131" s="147"/>
      <c r="AU131" s="141"/>
      <c r="AV131" s="141"/>
      <c r="AW131" s="148"/>
      <c r="AX131" s="148"/>
    </row>
    <row r="132" spans="27:50" x14ac:dyDescent="0.25">
      <c r="AA132" s="3"/>
      <c r="AB132" s="3"/>
      <c r="AE132" s="150"/>
      <c r="AF132" s="150"/>
      <c r="AG132" s="150"/>
      <c r="AH132" s="150"/>
      <c r="AR132" s="3"/>
      <c r="AS132" s="3"/>
      <c r="AT132" s="147"/>
      <c r="AU132" s="141"/>
      <c r="AV132" s="141"/>
      <c r="AW132" s="148"/>
      <c r="AX132" s="148"/>
    </row>
    <row r="133" spans="27:50" x14ac:dyDescent="0.25">
      <c r="AA133" s="3"/>
      <c r="AB133" s="3"/>
      <c r="AE133" s="150"/>
      <c r="AF133" s="150"/>
      <c r="AG133" s="150"/>
      <c r="AH133" s="150"/>
      <c r="AR133" s="3"/>
      <c r="AS133" s="3"/>
      <c r="AT133" s="147"/>
      <c r="AU133" s="141"/>
      <c r="AV133" s="141"/>
      <c r="AW133" s="148"/>
      <c r="AX133" s="148"/>
    </row>
    <row r="134" spans="27:50" x14ac:dyDescent="0.25">
      <c r="AR134" s="3"/>
      <c r="AS134" s="3"/>
      <c r="AT134" s="147"/>
      <c r="AU134" s="141"/>
      <c r="AV134" s="141"/>
      <c r="AW134" s="148"/>
      <c r="AX134" s="148"/>
    </row>
    <row r="135" spans="27:50" x14ac:dyDescent="0.25">
      <c r="AR135" s="3"/>
      <c r="AS135" s="3"/>
      <c r="AT135" s="147"/>
      <c r="AU135" s="141"/>
      <c r="AV135" s="141"/>
      <c r="AW135" s="148"/>
      <c r="AX135" s="148"/>
    </row>
    <row r="136" spans="27:50" x14ac:dyDescent="0.25">
      <c r="AR136" s="3"/>
      <c r="AS136" s="3"/>
      <c r="AT136" s="147"/>
      <c r="AU136" s="141"/>
      <c r="AV136" s="141"/>
      <c r="AW136" s="148"/>
      <c r="AX136" s="148"/>
    </row>
    <row r="137" spans="27:50" x14ac:dyDescent="0.25">
      <c r="AR137" s="3"/>
      <c r="AS137" s="3"/>
      <c r="AT137" s="147"/>
      <c r="AU137" s="141"/>
      <c r="AV137" s="141"/>
      <c r="AW137" s="148"/>
      <c r="AX137" s="148"/>
    </row>
    <row r="138" spans="27:50" x14ac:dyDescent="0.25">
      <c r="AR138" s="3"/>
      <c r="AS138" s="3"/>
      <c r="AT138" s="147"/>
      <c r="AU138" s="141"/>
      <c r="AV138" s="141"/>
      <c r="AW138" s="148"/>
      <c r="AX138" s="148"/>
    </row>
    <row r="139" spans="27:50" x14ac:dyDescent="0.25">
      <c r="AR139" s="3"/>
      <c r="AS139" s="3"/>
      <c r="AT139" s="147"/>
      <c r="AU139" s="141"/>
      <c r="AV139" s="141"/>
      <c r="AW139" s="148"/>
      <c r="AX139" s="148"/>
    </row>
    <row r="140" spans="27:50" x14ac:dyDescent="0.25">
      <c r="AR140" s="3"/>
      <c r="AS140" s="3"/>
      <c r="AT140" s="147"/>
      <c r="AU140" s="141"/>
      <c r="AV140" s="141"/>
      <c r="AW140" s="148"/>
      <c r="AX140" s="148"/>
    </row>
    <row r="141" spans="27:50" x14ac:dyDescent="0.25">
      <c r="AR141" s="3"/>
      <c r="AS141" s="3"/>
      <c r="AT141" s="147"/>
      <c r="AU141" s="141"/>
      <c r="AV141" s="141"/>
      <c r="AW141" s="148"/>
      <c r="AX141" s="148"/>
    </row>
    <row r="142" spans="27:50" x14ac:dyDescent="0.25">
      <c r="AR142" s="3"/>
      <c r="AS142" s="3"/>
      <c r="AT142" s="147"/>
      <c r="AU142" s="141"/>
      <c r="AV142" s="141"/>
      <c r="AW142" s="148"/>
      <c r="AX142" s="148"/>
    </row>
    <row r="143" spans="27:50" x14ac:dyDescent="0.25">
      <c r="AR143" s="3"/>
      <c r="AS143" s="3"/>
      <c r="AT143" s="147"/>
      <c r="AU143" s="141"/>
      <c r="AV143" s="141"/>
      <c r="AW143" s="148"/>
      <c r="AX143" s="148"/>
    </row>
    <row r="144" spans="27:50" x14ac:dyDescent="0.25">
      <c r="AR144" s="3"/>
      <c r="AS144" s="3"/>
      <c r="AT144" s="147"/>
      <c r="AU144" s="141"/>
      <c r="AV144" s="141"/>
      <c r="AW144" s="148"/>
      <c r="AX144" s="148"/>
    </row>
    <row r="145" spans="44:50" x14ac:dyDescent="0.25">
      <c r="AR145" s="3"/>
      <c r="AS145" s="3"/>
      <c r="AT145" s="147"/>
      <c r="AU145" s="141"/>
      <c r="AV145" s="141"/>
      <c r="AW145" s="148"/>
      <c r="AX145" s="148"/>
    </row>
    <row r="146" spans="44:50" x14ac:dyDescent="0.25">
      <c r="AR146" s="3"/>
      <c r="AS146" s="3"/>
      <c r="AT146" s="147"/>
      <c r="AU146" s="141"/>
      <c r="AV146" s="141"/>
      <c r="AW146" s="148"/>
      <c r="AX146" s="148"/>
    </row>
    <row r="147" spans="44:50" x14ac:dyDescent="0.25">
      <c r="AR147" s="3"/>
      <c r="AS147" s="3"/>
      <c r="AT147" s="147"/>
      <c r="AU147" s="141"/>
      <c r="AV147" s="141"/>
      <c r="AW147" s="148"/>
      <c r="AX147" s="148"/>
    </row>
    <row r="148" spans="44:50" x14ac:dyDescent="0.25">
      <c r="AR148" s="3"/>
      <c r="AS148" s="3"/>
      <c r="AT148" s="147"/>
      <c r="AU148" s="141"/>
      <c r="AV148" s="141"/>
      <c r="AW148" s="148"/>
      <c r="AX148" s="148"/>
    </row>
    <row r="149" spans="44:50" x14ac:dyDescent="0.25">
      <c r="AR149" s="3"/>
      <c r="AS149" s="3"/>
      <c r="AT149" s="147"/>
      <c r="AU149" s="141"/>
      <c r="AV149" s="141"/>
      <c r="AW149" s="152"/>
      <c r="AX149" s="152"/>
    </row>
    <row r="150" spans="44:50" x14ac:dyDescent="0.25">
      <c r="AR150" s="3"/>
      <c r="AS150" s="3"/>
      <c r="AT150" s="147"/>
      <c r="AU150" s="141"/>
      <c r="AV150" s="141"/>
      <c r="AW150" s="152"/>
      <c r="AX150" s="152"/>
    </row>
    <row r="151" spans="44:50" x14ac:dyDescent="0.25">
      <c r="AR151" s="3"/>
      <c r="AS151" s="3"/>
      <c r="AT151" s="147"/>
      <c r="AU151" s="141"/>
      <c r="AV151" s="141"/>
      <c r="AW151" s="152"/>
      <c r="AX151" s="152"/>
    </row>
    <row r="152" spans="44:50" x14ac:dyDescent="0.25">
      <c r="AR152" s="3"/>
      <c r="AS152" s="3"/>
      <c r="AT152" s="147"/>
      <c r="AU152" s="141"/>
      <c r="AV152" s="141"/>
      <c r="AW152" s="152"/>
      <c r="AX152" s="152"/>
    </row>
    <row r="153" spans="44:50" x14ac:dyDescent="0.25">
      <c r="AR153" s="3"/>
      <c r="AS153" s="3"/>
      <c r="AT153" s="147"/>
      <c r="AU153" s="141"/>
      <c r="AV153" s="141"/>
      <c r="AW153" s="152"/>
      <c r="AX153" s="152"/>
    </row>
    <row r="154" spans="44:50" x14ac:dyDescent="0.25">
      <c r="AR154" s="3"/>
      <c r="AS154" s="3"/>
      <c r="AT154" s="147"/>
      <c r="AU154" s="141"/>
      <c r="AV154" s="141"/>
      <c r="AW154" s="152"/>
      <c r="AX154" s="152"/>
    </row>
    <row r="155" spans="44:50" x14ac:dyDescent="0.25">
      <c r="AR155" s="3"/>
      <c r="AS155" s="3"/>
      <c r="AT155" s="147"/>
      <c r="AU155" s="141"/>
      <c r="AV155" s="141"/>
      <c r="AW155" s="152"/>
      <c r="AX155" s="152"/>
    </row>
    <row r="156" spans="44:50" x14ac:dyDescent="0.25">
      <c r="AR156" s="3"/>
      <c r="AS156" s="3"/>
      <c r="AT156" s="147"/>
      <c r="AU156" s="141"/>
      <c r="AV156" s="141"/>
      <c r="AW156" s="152"/>
      <c r="AX156" s="152"/>
    </row>
    <row r="157" spans="44:50" x14ac:dyDescent="0.25">
      <c r="AR157" s="3"/>
      <c r="AS157" s="3"/>
      <c r="AT157" s="147"/>
      <c r="AU157" s="141"/>
      <c r="AV157" s="141"/>
      <c r="AW157" s="152"/>
      <c r="AX157" s="152"/>
    </row>
    <row r="158" spans="44:50" x14ac:dyDescent="0.25">
      <c r="AR158" s="3"/>
      <c r="AS158" s="3"/>
      <c r="AT158" s="147"/>
      <c r="AU158" s="141"/>
      <c r="AV158" s="141"/>
      <c r="AW158" s="152"/>
      <c r="AX158" s="152"/>
    </row>
    <row r="159" spans="44:50" x14ac:dyDescent="0.25">
      <c r="AR159" s="3"/>
      <c r="AS159" s="3"/>
      <c r="AT159" s="147"/>
      <c r="AU159" s="141"/>
      <c r="AV159" s="141"/>
      <c r="AW159" s="152"/>
      <c r="AX159" s="152"/>
    </row>
    <row r="160" spans="44:50" x14ac:dyDescent="0.25">
      <c r="AR160" s="3"/>
      <c r="AS160" s="3"/>
      <c r="AT160" s="147"/>
      <c r="AU160" s="141"/>
      <c r="AV160" s="141"/>
      <c r="AW160" s="152"/>
      <c r="AX160" s="152"/>
    </row>
    <row r="161" spans="44:50" x14ac:dyDescent="0.25">
      <c r="AR161" s="3"/>
      <c r="AS161" s="3"/>
      <c r="AT161" s="147"/>
      <c r="AU161" s="141"/>
      <c r="AV161" s="141"/>
      <c r="AW161" s="152"/>
      <c r="AX161" s="152"/>
    </row>
    <row r="162" spans="44:50" x14ac:dyDescent="0.25">
      <c r="AR162" s="3"/>
      <c r="AS162" s="3"/>
      <c r="AT162" s="147"/>
      <c r="AU162" s="141"/>
      <c r="AV162" s="141"/>
      <c r="AW162" s="152"/>
      <c r="AX162" s="152"/>
    </row>
    <row r="163" spans="44:50" x14ac:dyDescent="0.25">
      <c r="AR163" s="3"/>
      <c r="AS163" s="3"/>
      <c r="AT163" s="147"/>
      <c r="AU163" s="141"/>
      <c r="AV163" s="141"/>
      <c r="AW163" s="152"/>
      <c r="AX163" s="152"/>
    </row>
    <row r="164" spans="44:50" x14ac:dyDescent="0.25">
      <c r="AR164" s="3"/>
      <c r="AS164" s="3"/>
      <c r="AT164" s="147"/>
      <c r="AU164" s="141"/>
      <c r="AV164" s="141"/>
      <c r="AW164" s="152"/>
      <c r="AX164" s="152"/>
    </row>
    <row r="165" spans="44:50" x14ac:dyDescent="0.25">
      <c r="AR165" s="3"/>
      <c r="AS165" s="3"/>
      <c r="AT165" s="147"/>
      <c r="AU165" s="141"/>
      <c r="AV165" s="141"/>
      <c r="AW165" s="152"/>
      <c r="AX165" s="152"/>
    </row>
    <row r="166" spans="44:50" x14ac:dyDescent="0.25">
      <c r="AR166" s="3"/>
      <c r="AS166" s="3"/>
      <c r="AT166" s="147"/>
      <c r="AU166" s="141"/>
      <c r="AV166" s="141"/>
      <c r="AW166" s="152"/>
      <c r="AX166" s="152"/>
    </row>
    <row r="167" spans="44:50" x14ac:dyDescent="0.25">
      <c r="AR167" s="3"/>
      <c r="AS167" s="3"/>
      <c r="AT167" s="147"/>
      <c r="AU167" s="141"/>
      <c r="AV167" s="141"/>
      <c r="AW167" s="152"/>
      <c r="AX167" s="152"/>
    </row>
    <row r="168" spans="44:50" x14ac:dyDescent="0.25">
      <c r="AR168" s="3"/>
      <c r="AS168" s="3"/>
      <c r="AT168" s="147"/>
      <c r="AU168" s="141"/>
      <c r="AV168" s="141"/>
      <c r="AW168" s="152"/>
      <c r="AX168" s="152"/>
    </row>
    <row r="169" spans="44:50" x14ac:dyDescent="0.25">
      <c r="AR169" s="3"/>
      <c r="AS169" s="3"/>
      <c r="AT169" s="147"/>
      <c r="AU169" s="141"/>
      <c r="AV169" s="141"/>
      <c r="AW169" s="152"/>
      <c r="AX169" s="152"/>
    </row>
    <row r="170" spans="44:50" x14ac:dyDescent="0.25">
      <c r="AR170" s="3"/>
      <c r="AS170" s="3"/>
      <c r="AT170" s="147"/>
      <c r="AU170" s="141"/>
      <c r="AV170" s="141"/>
      <c r="AW170" s="152"/>
      <c r="AX170" s="152"/>
    </row>
    <row r="171" spans="44:50" x14ac:dyDescent="0.25">
      <c r="AR171" s="3"/>
      <c r="AS171" s="3"/>
      <c r="AT171" s="3"/>
      <c r="AU171" s="152"/>
      <c r="AV171" s="152"/>
      <c r="AW171" s="152"/>
      <c r="AX171" s="152"/>
    </row>
    <row r="172" spans="44:50" x14ac:dyDescent="0.25">
      <c r="AR172" s="3"/>
      <c r="AS172" s="3"/>
      <c r="AT172" s="3"/>
      <c r="AU172" s="153"/>
      <c r="AV172" s="153"/>
      <c r="AW172" s="153"/>
      <c r="AX172" s="153"/>
    </row>
    <row r="173" spans="44:50" x14ac:dyDescent="0.25">
      <c r="AR173" s="3"/>
      <c r="AS173" s="3"/>
      <c r="AT173" s="3"/>
      <c r="AU173" s="152"/>
      <c r="AV173" s="152"/>
      <c r="AW173" s="152"/>
      <c r="AX173" s="152"/>
    </row>
    <row r="174" spans="44:50" x14ac:dyDescent="0.25">
      <c r="AR174" s="3"/>
      <c r="AS174" s="3"/>
      <c r="AT174" s="3"/>
      <c r="AU174" s="152"/>
      <c r="AV174" s="152"/>
      <c r="AW174" s="152"/>
      <c r="AX174" s="152"/>
    </row>
    <row r="175" spans="44:50" x14ac:dyDescent="0.25">
      <c r="AR175" s="3"/>
      <c r="AS175" s="3"/>
      <c r="AT175" s="3"/>
      <c r="AU175" s="153"/>
      <c r="AV175" s="153"/>
      <c r="AW175" s="153"/>
      <c r="AX175" s="153"/>
    </row>
    <row r="176" spans="44:50" x14ac:dyDescent="0.25">
      <c r="AR176" s="3"/>
      <c r="AS176" s="3"/>
      <c r="AT176" s="3"/>
      <c r="AU176" s="152"/>
      <c r="AV176" s="152"/>
      <c r="AW176" s="152"/>
      <c r="AX176" s="152"/>
    </row>
    <row r="177" spans="44:45" x14ac:dyDescent="0.25">
      <c r="AR177" s="3"/>
      <c r="AS177" s="3"/>
    </row>
    <row r="178" spans="44:45" x14ac:dyDescent="0.25">
      <c r="AR178" s="3"/>
      <c r="AS178" s="3"/>
    </row>
    <row r="179" spans="44:45" x14ac:dyDescent="0.25">
      <c r="AR179" s="3"/>
      <c r="AS179" s="3"/>
    </row>
    <row r="180" spans="44:45" x14ac:dyDescent="0.25">
      <c r="AR180" s="3"/>
      <c r="AS180" s="3"/>
    </row>
  </sheetData>
  <mergeCells count="64">
    <mergeCell ref="W5:W7"/>
    <mergeCell ref="BV6:BX6"/>
    <mergeCell ref="BM5:BM7"/>
    <mergeCell ref="BN5:BN7"/>
    <mergeCell ref="BO5:BO7"/>
    <mergeCell ref="BP5:BP7"/>
    <mergeCell ref="BQ5:BQ7"/>
    <mergeCell ref="BR5:BT6"/>
    <mergeCell ref="BL5:BL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AZ5:AZ7"/>
    <mergeCell ref="AU5:AU7"/>
    <mergeCell ref="AV5:AV7"/>
    <mergeCell ref="AW5:AW7"/>
    <mergeCell ref="AX5:AX7"/>
    <mergeCell ref="AO5:AO7"/>
    <mergeCell ref="AP5:AP7"/>
    <mergeCell ref="AQ5:AQ7"/>
    <mergeCell ref="AR5:AR7"/>
    <mergeCell ref="AS5:AS7"/>
    <mergeCell ref="AY5:AY7"/>
    <mergeCell ref="AN5:AN7"/>
    <mergeCell ref="X5:X7"/>
    <mergeCell ref="AA5:AA7"/>
    <mergeCell ref="AB5:AB7"/>
    <mergeCell ref="AE5:AF5"/>
    <mergeCell ref="AG5:AG7"/>
    <mergeCell ref="AH5:AH7"/>
    <mergeCell ref="AI5:AI7"/>
    <mergeCell ref="AJ5:AJ7"/>
    <mergeCell ref="AK5:AK7"/>
    <mergeCell ref="AL5:AL7"/>
    <mergeCell ref="AM5:AM7"/>
    <mergeCell ref="AE6:AE7"/>
    <mergeCell ref="AF6:AF7"/>
    <mergeCell ref="AT5:AT7"/>
    <mergeCell ref="I5:I7"/>
    <mergeCell ref="J5:N5"/>
    <mergeCell ref="O5:O7"/>
    <mergeCell ref="P5:U5"/>
    <mergeCell ref="V5:V7"/>
    <mergeCell ref="J6:J7"/>
    <mergeCell ref="K6:K7"/>
    <mergeCell ref="L6:L7"/>
    <mergeCell ref="M6:N6"/>
    <mergeCell ref="P6:Q6"/>
    <mergeCell ref="R6:S6"/>
    <mergeCell ref="T6:U6"/>
    <mergeCell ref="H5:H7"/>
    <mergeCell ref="A5:A7"/>
    <mergeCell ref="B5:B7"/>
    <mergeCell ref="C5:C7"/>
    <mergeCell ref="D5:F6"/>
    <mergeCell ref="G5:G7"/>
  </mergeCells>
  <hyperlinks>
    <hyperlink ref="AS24" r:id="rId1"/>
    <hyperlink ref="AS45" r:id="rId2"/>
  </hyperlinks>
  <pageMargins left="0.5" right="1" top="0.75000000000000022" bottom="0.50000000000000011" header="0.31496062992126012" footer="0.31496062992126012"/>
  <pageSetup paperSize="0" scale="75" fitToWidth="0" fitToHeight="0" orientation="landscape" horizontalDpi="0" verticalDpi="0" copies="0"/>
  <headerFooter>
    <oddFooter xml:space="preserve">&amp;RJanuari 2018                 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abSelected="1" showWhiteSpace="0" view="pageBreakPreview" zoomScaleNormal="100" zoomScaleSheetLayoutView="100" zoomScalePageLayoutView="90" workbookViewId="0">
      <selection activeCell="D67" sqref="D67"/>
    </sheetView>
  </sheetViews>
  <sheetFormatPr defaultColWidth="9.109375" defaultRowHeight="21" customHeight="1" x14ac:dyDescent="0.25"/>
  <cols>
    <col min="1" max="1" width="9" style="233" customWidth="1"/>
    <col min="2" max="2" width="35.88671875" style="232" customWidth="1"/>
    <col min="3" max="3" width="9.33203125" style="230" customWidth="1"/>
    <col min="4" max="4" width="34.5546875" style="232" customWidth="1"/>
    <col min="5" max="5" width="17.88671875" style="234" customWidth="1"/>
    <col min="6" max="6" width="9.6640625" style="230" customWidth="1"/>
    <col min="7" max="16384" width="9.109375" style="231"/>
  </cols>
  <sheetData>
    <row r="1" spans="1:6" s="236" customFormat="1" ht="36" customHeight="1" x14ac:dyDescent="0.25">
      <c r="A1" s="305" t="s">
        <v>1980</v>
      </c>
      <c r="B1" s="305"/>
      <c r="C1" s="305"/>
      <c r="D1" s="305"/>
      <c r="E1" s="305"/>
      <c r="F1" s="235"/>
    </row>
    <row r="2" spans="1:6" s="236" customFormat="1" ht="39" customHeight="1" x14ac:dyDescent="0.25">
      <c r="A2" s="305" t="s">
        <v>2175</v>
      </c>
      <c r="B2" s="305"/>
      <c r="C2" s="305"/>
      <c r="D2" s="305"/>
      <c r="E2" s="305"/>
      <c r="F2" s="235"/>
    </row>
    <row r="3" spans="1:6" s="236" customFormat="1" ht="22.5" customHeight="1" x14ac:dyDescent="0.25">
      <c r="A3" s="258"/>
      <c r="B3" s="258"/>
      <c r="C3" s="258"/>
      <c r="D3" s="258"/>
      <c r="E3" s="258"/>
      <c r="F3" s="235"/>
    </row>
    <row r="4" spans="1:6" s="157" customFormat="1" ht="26.25" customHeight="1" x14ac:dyDescent="0.25">
      <c r="A4" s="306" t="s">
        <v>3</v>
      </c>
      <c r="B4" s="307" t="s">
        <v>4</v>
      </c>
      <c r="C4" s="307" t="s">
        <v>6</v>
      </c>
      <c r="D4" s="307" t="s">
        <v>8</v>
      </c>
      <c r="E4" s="249" t="s">
        <v>2086</v>
      </c>
    </row>
    <row r="5" spans="1:6" s="157" customFormat="1" ht="30" customHeight="1" x14ac:dyDescent="0.25">
      <c r="A5" s="306"/>
      <c r="B5" s="307"/>
      <c r="C5" s="307"/>
      <c r="D5" s="307"/>
      <c r="E5" s="250" t="s">
        <v>2087</v>
      </c>
    </row>
    <row r="6" spans="1:6" s="157" customFormat="1" ht="21" customHeight="1" x14ac:dyDescent="0.25">
      <c r="A6" s="251">
        <v>1</v>
      </c>
      <c r="B6" s="241">
        <v>2</v>
      </c>
      <c r="C6" s="252">
        <v>4</v>
      </c>
      <c r="D6" s="252">
        <v>5</v>
      </c>
      <c r="E6" s="253">
        <v>11</v>
      </c>
    </row>
    <row r="7" spans="1:6" ht="28.5" customHeight="1" x14ac:dyDescent="0.25">
      <c r="A7" s="259">
        <v>1</v>
      </c>
      <c r="B7" s="239" t="s">
        <v>2140</v>
      </c>
      <c r="C7" s="260" t="s">
        <v>69</v>
      </c>
      <c r="D7" s="261" t="s">
        <v>2139</v>
      </c>
      <c r="E7" s="239" t="s">
        <v>2138</v>
      </c>
      <c r="F7" s="231"/>
    </row>
    <row r="8" spans="1:6" s="237" customFormat="1" ht="28.5" customHeight="1" x14ac:dyDescent="0.25">
      <c r="A8" s="259">
        <f>A7+1</f>
        <v>2</v>
      </c>
      <c r="B8" s="262" t="s">
        <v>670</v>
      </c>
      <c r="C8" s="263" t="s">
        <v>69</v>
      </c>
      <c r="D8" s="264" t="s">
        <v>673</v>
      </c>
      <c r="E8" s="262" t="s">
        <v>1986</v>
      </c>
    </row>
    <row r="9" spans="1:6" ht="28.5" customHeight="1" x14ac:dyDescent="0.25">
      <c r="A9" s="259">
        <f t="shared" ref="A9:A35" si="0">A8+1</f>
        <v>3</v>
      </c>
      <c r="B9" s="239" t="s">
        <v>2169</v>
      </c>
      <c r="C9" s="247" t="s">
        <v>70</v>
      </c>
      <c r="D9" s="266" t="s">
        <v>530</v>
      </c>
      <c r="E9" s="239" t="s">
        <v>339</v>
      </c>
      <c r="F9" s="231"/>
    </row>
    <row r="10" spans="1:6" ht="28.5" customHeight="1" x14ac:dyDescent="0.25">
      <c r="A10" s="259">
        <f t="shared" si="0"/>
        <v>4</v>
      </c>
      <c r="B10" s="239" t="s">
        <v>501</v>
      </c>
      <c r="C10" s="247" t="s">
        <v>69</v>
      </c>
      <c r="D10" s="266" t="s">
        <v>504</v>
      </c>
      <c r="E10" s="239" t="s">
        <v>507</v>
      </c>
      <c r="F10" s="231"/>
    </row>
    <row r="11" spans="1:6" s="237" customFormat="1" ht="28.5" customHeight="1" x14ac:dyDescent="0.25">
      <c r="A11" s="259">
        <f t="shared" si="0"/>
        <v>5</v>
      </c>
      <c r="B11" s="239" t="s">
        <v>871</v>
      </c>
      <c r="C11" s="247" t="s">
        <v>69</v>
      </c>
      <c r="D11" s="266" t="s">
        <v>874</v>
      </c>
      <c r="E11" s="239" t="s">
        <v>1989</v>
      </c>
    </row>
    <row r="12" spans="1:6" ht="28.5" customHeight="1" x14ac:dyDescent="0.25">
      <c r="A12" s="259">
        <f t="shared" si="0"/>
        <v>6</v>
      </c>
      <c r="B12" s="239" t="s">
        <v>777</v>
      </c>
      <c r="C12" s="247" t="s">
        <v>70</v>
      </c>
      <c r="D12" s="266" t="s">
        <v>780</v>
      </c>
      <c r="E12" s="239" t="s">
        <v>1987</v>
      </c>
      <c r="F12" s="231"/>
    </row>
    <row r="13" spans="1:6" s="240" customFormat="1" ht="28.5" customHeight="1" x14ac:dyDescent="0.25">
      <c r="A13" s="259">
        <f t="shared" si="0"/>
        <v>7</v>
      </c>
      <c r="B13" s="257" t="s">
        <v>826</v>
      </c>
      <c r="C13" s="265" t="s">
        <v>70</v>
      </c>
      <c r="D13" s="267" t="s">
        <v>829</v>
      </c>
      <c r="E13" s="257" t="s">
        <v>196</v>
      </c>
    </row>
    <row r="14" spans="1:6" ht="28.5" customHeight="1" x14ac:dyDescent="0.25">
      <c r="A14" s="259">
        <f t="shared" si="0"/>
        <v>8</v>
      </c>
      <c r="B14" s="239" t="s">
        <v>2160</v>
      </c>
      <c r="C14" s="247" t="s">
        <v>70</v>
      </c>
      <c r="D14" s="266" t="s">
        <v>984</v>
      </c>
      <c r="E14" s="239" t="s">
        <v>649</v>
      </c>
      <c r="F14" s="231"/>
    </row>
    <row r="15" spans="1:6" ht="28.5" customHeight="1" x14ac:dyDescent="0.25">
      <c r="A15" s="259">
        <f t="shared" si="0"/>
        <v>9</v>
      </c>
      <c r="B15" s="239" t="s">
        <v>1005</v>
      </c>
      <c r="C15" s="247" t="s">
        <v>70</v>
      </c>
      <c r="D15" s="266" t="s">
        <v>1008</v>
      </c>
      <c r="E15" s="239" t="s">
        <v>101</v>
      </c>
      <c r="F15" s="231"/>
    </row>
    <row r="16" spans="1:6" ht="28.5" customHeight="1" x14ac:dyDescent="0.25">
      <c r="A16" s="259">
        <f t="shared" si="0"/>
        <v>10</v>
      </c>
      <c r="B16" s="239" t="s">
        <v>2080</v>
      </c>
      <c r="C16" s="247" t="s">
        <v>69</v>
      </c>
      <c r="D16" s="266" t="s">
        <v>959</v>
      </c>
      <c r="E16" s="239" t="s">
        <v>196</v>
      </c>
      <c r="F16" s="231"/>
    </row>
    <row r="17" spans="1:6" ht="28.5" customHeight="1" x14ac:dyDescent="0.25">
      <c r="A17" s="259">
        <f t="shared" si="0"/>
        <v>11</v>
      </c>
      <c r="B17" s="239" t="s">
        <v>2165</v>
      </c>
      <c r="C17" s="247" t="s">
        <v>70</v>
      </c>
      <c r="D17" s="266" t="s">
        <v>904</v>
      </c>
      <c r="E17" s="239" t="s">
        <v>196</v>
      </c>
      <c r="F17" s="231"/>
    </row>
    <row r="18" spans="1:6" ht="28.5" customHeight="1" x14ac:dyDescent="0.25">
      <c r="A18" s="259">
        <f t="shared" si="0"/>
        <v>12</v>
      </c>
      <c r="B18" s="239" t="s">
        <v>1025</v>
      </c>
      <c r="C18" s="247" t="s">
        <v>70</v>
      </c>
      <c r="D18" s="266" t="s">
        <v>1028</v>
      </c>
      <c r="E18" s="239" t="s">
        <v>649</v>
      </c>
      <c r="F18" s="231"/>
    </row>
    <row r="19" spans="1:6" ht="28.5" customHeight="1" x14ac:dyDescent="0.25">
      <c r="A19" s="259">
        <f t="shared" si="0"/>
        <v>13</v>
      </c>
      <c r="B19" s="239" t="s">
        <v>2164</v>
      </c>
      <c r="C19" s="247" t="s">
        <v>70</v>
      </c>
      <c r="D19" s="266" t="s">
        <v>1195</v>
      </c>
      <c r="E19" s="239" t="s">
        <v>101</v>
      </c>
      <c r="F19" s="231"/>
    </row>
    <row r="20" spans="1:6" ht="28.5" customHeight="1" x14ac:dyDescent="0.25">
      <c r="A20" s="259">
        <f t="shared" si="0"/>
        <v>14</v>
      </c>
      <c r="B20" s="239" t="s">
        <v>2162</v>
      </c>
      <c r="C20" s="247" t="s">
        <v>69</v>
      </c>
      <c r="D20" s="268" t="s">
        <v>2174</v>
      </c>
      <c r="E20" s="239" t="s">
        <v>2163</v>
      </c>
      <c r="F20" s="231"/>
    </row>
    <row r="21" spans="1:6" ht="28.5" customHeight="1" x14ac:dyDescent="0.25">
      <c r="A21" s="259">
        <f t="shared" si="0"/>
        <v>15</v>
      </c>
      <c r="B21" s="239" t="s">
        <v>1170</v>
      </c>
      <c r="C21" s="247" t="s">
        <v>70</v>
      </c>
      <c r="D21" s="239" t="s">
        <v>1173</v>
      </c>
      <c r="E21" s="239" t="s">
        <v>1990</v>
      </c>
      <c r="F21" s="231"/>
    </row>
    <row r="22" spans="1:6" ht="28.5" customHeight="1" x14ac:dyDescent="0.25">
      <c r="A22" s="259">
        <f t="shared" si="0"/>
        <v>16</v>
      </c>
      <c r="B22" s="239" t="s">
        <v>1274</v>
      </c>
      <c r="C22" s="247" t="s">
        <v>70</v>
      </c>
      <c r="D22" s="266" t="s">
        <v>1277</v>
      </c>
      <c r="E22" s="239" t="s">
        <v>339</v>
      </c>
      <c r="F22" s="231"/>
    </row>
    <row r="23" spans="1:6" ht="28.5" customHeight="1" x14ac:dyDescent="0.25">
      <c r="A23" s="259">
        <f t="shared" si="0"/>
        <v>17</v>
      </c>
      <c r="B23" s="239" t="s">
        <v>1298</v>
      </c>
      <c r="C23" s="247" t="s">
        <v>70</v>
      </c>
      <c r="D23" s="266" t="s">
        <v>1301</v>
      </c>
      <c r="E23" s="239" t="s">
        <v>1985</v>
      </c>
      <c r="F23" s="231"/>
    </row>
    <row r="24" spans="1:6" ht="28.5" customHeight="1" x14ac:dyDescent="0.25">
      <c r="A24" s="259">
        <f t="shared" si="0"/>
        <v>18</v>
      </c>
      <c r="B24" s="239" t="s">
        <v>1333</v>
      </c>
      <c r="C24" s="247" t="s">
        <v>69</v>
      </c>
      <c r="D24" s="266" t="s">
        <v>1336</v>
      </c>
      <c r="E24" s="239" t="s">
        <v>1983</v>
      </c>
      <c r="F24" s="231"/>
    </row>
    <row r="25" spans="1:6" ht="28.5" customHeight="1" x14ac:dyDescent="0.25">
      <c r="A25" s="259">
        <f t="shared" si="0"/>
        <v>19</v>
      </c>
      <c r="B25" s="248" t="s">
        <v>2170</v>
      </c>
      <c r="C25" s="247" t="s">
        <v>69</v>
      </c>
      <c r="D25" s="268" t="s">
        <v>1058</v>
      </c>
      <c r="E25" s="239" t="s">
        <v>168</v>
      </c>
      <c r="F25" s="231"/>
    </row>
    <row r="26" spans="1:6" ht="28.5" customHeight="1" x14ac:dyDescent="0.25">
      <c r="A26" s="259">
        <f t="shared" si="0"/>
        <v>20</v>
      </c>
      <c r="B26" s="239" t="s">
        <v>1359</v>
      </c>
      <c r="C26" s="247" t="s">
        <v>69</v>
      </c>
      <c r="D26" s="266" t="s">
        <v>1362</v>
      </c>
      <c r="E26" s="239" t="s">
        <v>1986</v>
      </c>
      <c r="F26" s="231"/>
    </row>
    <row r="27" spans="1:6" ht="28.5" customHeight="1" x14ac:dyDescent="0.25">
      <c r="A27" s="259">
        <f t="shared" si="0"/>
        <v>21</v>
      </c>
      <c r="B27" s="239" t="s">
        <v>2166</v>
      </c>
      <c r="C27" s="247" t="s">
        <v>69</v>
      </c>
      <c r="D27" s="266" t="s">
        <v>1253</v>
      </c>
      <c r="E27" s="239" t="s">
        <v>229</v>
      </c>
      <c r="F27" s="231"/>
    </row>
    <row r="28" spans="1:6" ht="28.5" customHeight="1" x14ac:dyDescent="0.25">
      <c r="A28" s="259">
        <f t="shared" si="0"/>
        <v>22</v>
      </c>
      <c r="B28" s="239" t="s">
        <v>2168</v>
      </c>
      <c r="C28" s="247" t="s">
        <v>70</v>
      </c>
      <c r="D28" s="268" t="s">
        <v>1407</v>
      </c>
      <c r="E28" s="239" t="s">
        <v>1410</v>
      </c>
      <c r="F28" s="231"/>
    </row>
    <row r="29" spans="1:6" ht="28.5" customHeight="1" x14ac:dyDescent="0.25">
      <c r="A29" s="259">
        <f t="shared" si="0"/>
        <v>23</v>
      </c>
      <c r="B29" s="239" t="s">
        <v>1433</v>
      </c>
      <c r="C29" s="247" t="s">
        <v>69</v>
      </c>
      <c r="D29" s="266" t="s">
        <v>1436</v>
      </c>
      <c r="E29" s="239" t="s">
        <v>853</v>
      </c>
      <c r="F29" s="231"/>
    </row>
    <row r="30" spans="1:6" s="240" customFormat="1" ht="28.5" customHeight="1" x14ac:dyDescent="0.25">
      <c r="A30" s="259">
        <f t="shared" si="0"/>
        <v>24</v>
      </c>
      <c r="B30" s="257" t="s">
        <v>2167</v>
      </c>
      <c r="C30" s="265" t="s">
        <v>70</v>
      </c>
      <c r="D30" s="267" t="s">
        <v>1454</v>
      </c>
      <c r="E30" s="257" t="s">
        <v>229</v>
      </c>
    </row>
    <row r="31" spans="1:6" ht="28.5" customHeight="1" x14ac:dyDescent="0.25">
      <c r="A31" s="259">
        <f t="shared" si="0"/>
        <v>25</v>
      </c>
      <c r="B31" s="239" t="s">
        <v>2084</v>
      </c>
      <c r="C31" s="265" t="s">
        <v>70</v>
      </c>
      <c r="D31" s="268" t="s">
        <v>2082</v>
      </c>
      <c r="E31" s="239" t="s">
        <v>2083</v>
      </c>
      <c r="F31" s="231"/>
    </row>
    <row r="32" spans="1:6" ht="28.5" customHeight="1" x14ac:dyDescent="0.25">
      <c r="A32" s="259">
        <f t="shared" si="0"/>
        <v>26</v>
      </c>
      <c r="B32" s="239" t="s">
        <v>1379</v>
      </c>
      <c r="C32" s="247" t="s">
        <v>69</v>
      </c>
      <c r="D32" s="266" t="s">
        <v>1382</v>
      </c>
      <c r="E32" s="239" t="s">
        <v>1991</v>
      </c>
      <c r="F32" s="231"/>
    </row>
    <row r="33" spans="1:6" ht="28.5" customHeight="1" x14ac:dyDescent="0.25">
      <c r="A33" s="259">
        <f t="shared" si="0"/>
        <v>27</v>
      </c>
      <c r="B33" s="239" t="s">
        <v>2066</v>
      </c>
      <c r="C33" s="247" t="s">
        <v>70</v>
      </c>
      <c r="D33" s="270" t="s">
        <v>2067</v>
      </c>
      <c r="E33" s="239" t="s">
        <v>258</v>
      </c>
      <c r="F33" s="231"/>
    </row>
    <row r="34" spans="1:6" ht="28.5" customHeight="1" x14ac:dyDescent="0.25">
      <c r="A34" s="259">
        <f t="shared" si="0"/>
        <v>28</v>
      </c>
      <c r="B34" s="239" t="s">
        <v>1469</v>
      </c>
      <c r="C34" s="247" t="s">
        <v>69</v>
      </c>
      <c r="D34" s="266" t="s">
        <v>1472</v>
      </c>
      <c r="E34" s="239" t="s">
        <v>2069</v>
      </c>
      <c r="F34" s="231"/>
    </row>
    <row r="35" spans="1:6" ht="28.5" customHeight="1" x14ac:dyDescent="0.25">
      <c r="A35" s="259">
        <f t="shared" si="0"/>
        <v>29</v>
      </c>
      <c r="B35" s="239" t="s">
        <v>1232</v>
      </c>
      <c r="C35" s="247" t="s">
        <v>69</v>
      </c>
      <c r="D35" s="266" t="s">
        <v>1235</v>
      </c>
      <c r="E35" s="239" t="s">
        <v>1986</v>
      </c>
      <c r="F35" s="231"/>
    </row>
    <row r="37" spans="1:6" ht="29.25" customHeight="1" x14ac:dyDescent="0.25">
      <c r="A37" s="308" t="s">
        <v>1992</v>
      </c>
      <c r="B37" s="309"/>
      <c r="C37" s="309"/>
      <c r="D37" s="309"/>
      <c r="E37" s="309"/>
      <c r="F37" s="231"/>
    </row>
    <row r="38" spans="1:6" ht="28.5" customHeight="1" x14ac:dyDescent="0.25">
      <c r="A38" s="259">
        <v>1</v>
      </c>
      <c r="B38" s="239" t="s">
        <v>2085</v>
      </c>
      <c r="C38" s="247" t="s">
        <v>69</v>
      </c>
      <c r="D38" s="239" t="s">
        <v>2061</v>
      </c>
      <c r="E38" s="239" t="s">
        <v>1993</v>
      </c>
      <c r="F38" s="231"/>
    </row>
    <row r="39" spans="1:6" ht="28.5" customHeight="1" x14ac:dyDescent="0.25">
      <c r="A39" s="259">
        <v>2</v>
      </c>
      <c r="B39" s="239" t="s">
        <v>1524</v>
      </c>
      <c r="C39" s="247" t="s">
        <v>69</v>
      </c>
      <c r="D39" s="239" t="s">
        <v>1994</v>
      </c>
      <c r="E39" s="239" t="s">
        <v>1993</v>
      </c>
      <c r="F39" s="231"/>
    </row>
    <row r="40" spans="1:6" ht="28.5" customHeight="1" x14ac:dyDescent="0.25">
      <c r="A40" s="259">
        <v>3</v>
      </c>
      <c r="B40" s="239" t="s">
        <v>1534</v>
      </c>
      <c r="C40" s="247" t="s">
        <v>70</v>
      </c>
      <c r="D40" s="239" t="s">
        <v>1995</v>
      </c>
      <c r="E40" s="239" t="s">
        <v>649</v>
      </c>
      <c r="F40" s="231"/>
    </row>
    <row r="41" spans="1:6" ht="28.5" customHeight="1" x14ac:dyDescent="0.25">
      <c r="A41" s="259">
        <v>4</v>
      </c>
      <c r="B41" s="239" t="s">
        <v>1578</v>
      </c>
      <c r="C41" s="247" t="s">
        <v>70</v>
      </c>
      <c r="D41" s="239" t="s">
        <v>1996</v>
      </c>
      <c r="E41" s="239" t="s">
        <v>1983</v>
      </c>
      <c r="F41" s="231"/>
    </row>
    <row r="42" spans="1:6" ht="28.5" customHeight="1" x14ac:dyDescent="0.25">
      <c r="A42" s="259">
        <v>5</v>
      </c>
      <c r="B42" s="239" t="s">
        <v>2152</v>
      </c>
      <c r="C42" s="247" t="s">
        <v>70</v>
      </c>
      <c r="D42" s="239" t="s">
        <v>1997</v>
      </c>
      <c r="E42" s="239" t="s">
        <v>1983</v>
      </c>
      <c r="F42" s="231"/>
    </row>
    <row r="43" spans="1:6" ht="28.5" customHeight="1" x14ac:dyDescent="0.25">
      <c r="A43" s="259">
        <v>6</v>
      </c>
      <c r="B43" s="239" t="s">
        <v>1998</v>
      </c>
      <c r="C43" s="247" t="s">
        <v>69</v>
      </c>
      <c r="D43" s="239" t="s">
        <v>2173</v>
      </c>
      <c r="E43" s="271" t="s">
        <v>1989</v>
      </c>
      <c r="F43" s="231"/>
    </row>
    <row r="44" spans="1:6" ht="28.5" customHeight="1" x14ac:dyDescent="0.25">
      <c r="A44" s="259">
        <v>7</v>
      </c>
      <c r="B44" s="239" t="s">
        <v>1999</v>
      </c>
      <c r="C44" s="247" t="s">
        <v>69</v>
      </c>
      <c r="D44" s="239" t="s">
        <v>2000</v>
      </c>
      <c r="E44" s="271" t="s">
        <v>2176</v>
      </c>
      <c r="F44" s="231"/>
    </row>
    <row r="45" spans="1:6" ht="28.5" customHeight="1" x14ac:dyDescent="0.25">
      <c r="A45" s="259">
        <v>8</v>
      </c>
      <c r="B45" s="239" t="s">
        <v>2002</v>
      </c>
      <c r="C45" s="247" t="s">
        <v>70</v>
      </c>
      <c r="D45" s="239" t="s">
        <v>2064</v>
      </c>
      <c r="E45" s="271" t="s">
        <v>2176</v>
      </c>
      <c r="F45" s="231"/>
    </row>
    <row r="46" spans="1:6" ht="28.5" customHeight="1" x14ac:dyDescent="0.25">
      <c r="A46" s="259">
        <v>9</v>
      </c>
      <c r="B46" s="239" t="s">
        <v>2003</v>
      </c>
      <c r="C46" s="247" t="s">
        <v>69</v>
      </c>
      <c r="D46" s="239" t="s">
        <v>2004</v>
      </c>
      <c r="E46" s="271" t="s">
        <v>2176</v>
      </c>
      <c r="F46" s="231"/>
    </row>
    <row r="47" spans="1:6" ht="28.5" customHeight="1" x14ac:dyDescent="0.25">
      <c r="A47" s="259">
        <v>10</v>
      </c>
      <c r="B47" s="239" t="s">
        <v>1610</v>
      </c>
      <c r="C47" s="247" t="s">
        <v>69</v>
      </c>
      <c r="D47" s="270" t="s">
        <v>2074</v>
      </c>
      <c r="E47" s="239" t="s">
        <v>229</v>
      </c>
      <c r="F47" s="231"/>
    </row>
    <row r="48" spans="1:6" ht="28.5" customHeight="1" x14ac:dyDescent="0.25">
      <c r="A48" s="259">
        <v>11</v>
      </c>
      <c r="B48" s="239" t="s">
        <v>2128</v>
      </c>
      <c r="C48" s="247" t="s">
        <v>70</v>
      </c>
      <c r="D48" s="270" t="s">
        <v>2073</v>
      </c>
      <c r="E48" s="239" t="s">
        <v>168</v>
      </c>
      <c r="F48" s="231"/>
    </row>
    <row r="49" spans="1:6" ht="28.5" customHeight="1" x14ac:dyDescent="0.25">
      <c r="A49" s="259">
        <v>12</v>
      </c>
      <c r="B49" s="272" t="s">
        <v>2093</v>
      </c>
      <c r="C49" s="247" t="s">
        <v>70</v>
      </c>
      <c r="D49" s="270" t="s">
        <v>2077</v>
      </c>
      <c r="E49" s="271" t="s">
        <v>1983</v>
      </c>
      <c r="F49" s="231"/>
    </row>
    <row r="50" spans="1:6" ht="28.5" customHeight="1" x14ac:dyDescent="0.25">
      <c r="A50" s="259">
        <v>13</v>
      </c>
      <c r="B50" s="239" t="s">
        <v>2075</v>
      </c>
      <c r="C50" s="247" t="s">
        <v>70</v>
      </c>
      <c r="D50" s="270" t="s">
        <v>2076</v>
      </c>
      <c r="E50" s="271" t="s">
        <v>258</v>
      </c>
      <c r="F50" s="231"/>
    </row>
    <row r="51" spans="1:6" ht="28.5" customHeight="1" x14ac:dyDescent="0.25">
      <c r="A51" s="259">
        <v>14</v>
      </c>
      <c r="B51" s="239" t="s">
        <v>2078</v>
      </c>
      <c r="C51" s="247" t="s">
        <v>69</v>
      </c>
      <c r="D51" s="270" t="s">
        <v>2079</v>
      </c>
      <c r="E51" s="271" t="s">
        <v>1988</v>
      </c>
      <c r="F51" s="231"/>
    </row>
    <row r="52" spans="1:6" ht="28.5" customHeight="1" x14ac:dyDescent="0.25">
      <c r="A52" s="259">
        <v>15</v>
      </c>
      <c r="B52" s="257" t="s">
        <v>1514</v>
      </c>
      <c r="C52" s="247" t="s">
        <v>1967</v>
      </c>
      <c r="D52" s="270" t="s">
        <v>2107</v>
      </c>
      <c r="E52" s="271" t="s">
        <v>2126</v>
      </c>
      <c r="F52" s="231"/>
    </row>
    <row r="53" spans="1:6" ht="28.5" customHeight="1" x14ac:dyDescent="0.25">
      <c r="A53" s="259">
        <v>16</v>
      </c>
      <c r="B53" s="239" t="s">
        <v>2137</v>
      </c>
      <c r="C53" s="273" t="s">
        <v>70</v>
      </c>
      <c r="D53" s="270" t="s">
        <v>2108</v>
      </c>
      <c r="E53" s="239" t="s">
        <v>1984</v>
      </c>
      <c r="F53" s="231"/>
    </row>
    <row r="54" spans="1:6" ht="41.25" customHeight="1" x14ac:dyDescent="0.25">
      <c r="A54" s="259">
        <v>17</v>
      </c>
      <c r="B54" s="257" t="s">
        <v>2102</v>
      </c>
      <c r="C54" s="273" t="s">
        <v>70</v>
      </c>
      <c r="D54" s="270" t="s">
        <v>2106</v>
      </c>
      <c r="E54" s="271" t="s">
        <v>2126</v>
      </c>
      <c r="F54" s="231"/>
    </row>
    <row r="55" spans="1:6" ht="37.5" customHeight="1" x14ac:dyDescent="0.25">
      <c r="A55" s="259">
        <v>18</v>
      </c>
      <c r="B55" s="257" t="s">
        <v>2103</v>
      </c>
      <c r="C55" s="273" t="s">
        <v>70</v>
      </c>
      <c r="D55" s="270" t="s">
        <v>2109</v>
      </c>
      <c r="E55" s="271" t="s">
        <v>229</v>
      </c>
      <c r="F55" s="231"/>
    </row>
    <row r="56" spans="1:6" ht="37.5" customHeight="1" x14ac:dyDescent="0.25">
      <c r="A56" s="259">
        <v>19</v>
      </c>
      <c r="B56" s="257" t="s">
        <v>2104</v>
      </c>
      <c r="C56" s="273" t="s">
        <v>70</v>
      </c>
      <c r="D56" s="270" t="s">
        <v>2110</v>
      </c>
      <c r="E56" s="271" t="s">
        <v>258</v>
      </c>
      <c r="F56" s="231"/>
    </row>
    <row r="57" spans="1:6" ht="37.5" customHeight="1" x14ac:dyDescent="0.25">
      <c r="A57" s="259">
        <v>20</v>
      </c>
      <c r="B57" s="257" t="s">
        <v>2105</v>
      </c>
      <c r="C57" s="273" t="s">
        <v>70</v>
      </c>
      <c r="D57" s="270" t="s">
        <v>2111</v>
      </c>
      <c r="E57" s="271" t="s">
        <v>229</v>
      </c>
      <c r="F57" s="231"/>
    </row>
    <row r="58" spans="1:6" ht="24.75" customHeight="1" x14ac:dyDescent="0.25">
      <c r="A58" s="309" t="s">
        <v>2149</v>
      </c>
      <c r="B58" s="309"/>
      <c r="C58" s="309"/>
      <c r="D58" s="309"/>
      <c r="E58" s="309"/>
    </row>
    <row r="59" spans="1:6" ht="30" customHeight="1" x14ac:dyDescent="0.25">
      <c r="A59" s="259">
        <v>1</v>
      </c>
      <c r="B59" s="239" t="s">
        <v>2062</v>
      </c>
      <c r="C59" s="247" t="s">
        <v>70</v>
      </c>
      <c r="D59" s="270" t="s">
        <v>2154</v>
      </c>
      <c r="E59" s="239" t="s">
        <v>168</v>
      </c>
      <c r="F59" s="231"/>
    </row>
    <row r="60" spans="1:6" ht="30" customHeight="1" x14ac:dyDescent="0.25">
      <c r="A60" s="259">
        <v>2</v>
      </c>
      <c r="B60" s="239" t="s">
        <v>1627</v>
      </c>
      <c r="C60" s="247" t="s">
        <v>69</v>
      </c>
      <c r="D60" s="270" t="s">
        <v>2155</v>
      </c>
      <c r="E60" s="239" t="s">
        <v>168</v>
      </c>
      <c r="F60" s="231"/>
    </row>
    <row r="61" spans="1:6" ht="30" customHeight="1" x14ac:dyDescent="0.25">
      <c r="A61" s="308" t="s">
        <v>1977</v>
      </c>
      <c r="B61" s="309"/>
      <c r="C61" s="309"/>
      <c r="D61" s="309"/>
      <c r="E61" s="309"/>
      <c r="F61" s="231"/>
    </row>
    <row r="62" spans="1:6" ht="30" customHeight="1" x14ac:dyDescent="0.25">
      <c r="A62" s="259">
        <v>1</v>
      </c>
      <c r="B62" s="239" t="s">
        <v>1635</v>
      </c>
      <c r="C62" s="247" t="s">
        <v>70</v>
      </c>
      <c r="D62" s="270" t="s">
        <v>2088</v>
      </c>
      <c r="E62" s="239" t="s">
        <v>1638</v>
      </c>
      <c r="F62" s="231"/>
    </row>
    <row r="63" spans="1:6" ht="30" customHeight="1" x14ac:dyDescent="0.25">
      <c r="A63" s="259">
        <v>2</v>
      </c>
      <c r="B63" s="239" t="s">
        <v>2006</v>
      </c>
      <c r="C63" s="273" t="s">
        <v>70</v>
      </c>
      <c r="D63" s="270" t="s">
        <v>2089</v>
      </c>
      <c r="E63" s="271" t="s">
        <v>288</v>
      </c>
      <c r="F63" s="231"/>
    </row>
    <row r="64" spans="1:6" ht="30" customHeight="1" x14ac:dyDescent="0.25">
      <c r="A64" s="259">
        <v>3</v>
      </c>
      <c r="B64" s="239" t="s">
        <v>2010</v>
      </c>
      <c r="C64" s="273" t="s">
        <v>70</v>
      </c>
      <c r="D64" s="270" t="s">
        <v>2091</v>
      </c>
      <c r="E64" s="239" t="s">
        <v>258</v>
      </c>
      <c r="F64" s="231"/>
    </row>
    <row r="65" spans="1:6" ht="30" customHeight="1" x14ac:dyDescent="0.25">
      <c r="A65" s="259">
        <v>4</v>
      </c>
      <c r="B65" s="239" t="s">
        <v>2011</v>
      </c>
      <c r="C65" s="273" t="s">
        <v>70</v>
      </c>
      <c r="D65" s="270" t="s">
        <v>2092</v>
      </c>
      <c r="E65" s="239" t="s">
        <v>2065</v>
      </c>
      <c r="F65" s="231"/>
    </row>
    <row r="66" spans="1:6" ht="30" customHeight="1" x14ac:dyDescent="0.25">
      <c r="A66" s="259">
        <v>5</v>
      </c>
      <c r="B66" s="239" t="s">
        <v>2012</v>
      </c>
      <c r="C66" s="273" t="s">
        <v>70</v>
      </c>
      <c r="D66" s="270" t="s">
        <v>2090</v>
      </c>
      <c r="E66" s="239" t="s">
        <v>1989</v>
      </c>
      <c r="F66" s="231"/>
    </row>
    <row r="67" spans="1:6" s="246" customFormat="1" ht="31.5" customHeight="1" x14ac:dyDescent="0.25">
      <c r="A67" s="259">
        <v>6</v>
      </c>
      <c r="B67" s="269" t="s">
        <v>2151</v>
      </c>
      <c r="C67" s="274" t="s">
        <v>70</v>
      </c>
      <c r="D67" s="269"/>
      <c r="E67" s="279" t="s">
        <v>2130</v>
      </c>
      <c r="F67" s="245"/>
    </row>
    <row r="68" spans="1:6" s="242" customFormat="1" ht="30.75" customHeight="1" x14ac:dyDescent="0.3">
      <c r="A68" s="308" t="s">
        <v>2136</v>
      </c>
      <c r="B68" s="309"/>
      <c r="C68" s="309"/>
      <c r="D68" s="309"/>
      <c r="E68" s="309"/>
    </row>
    <row r="69" spans="1:6" ht="28.5" customHeight="1" x14ac:dyDescent="0.25">
      <c r="A69" s="254">
        <v>1</v>
      </c>
      <c r="B69" s="275" t="s">
        <v>2132</v>
      </c>
      <c r="C69" s="276"/>
      <c r="D69" s="277"/>
      <c r="E69" s="278" t="s">
        <v>2133</v>
      </c>
      <c r="F69" s="231"/>
    </row>
    <row r="70" spans="1:6" ht="27.75" customHeight="1" x14ac:dyDescent="0.25">
      <c r="A70" s="254">
        <v>2</v>
      </c>
      <c r="B70" s="256" t="s">
        <v>2134</v>
      </c>
      <c r="C70" s="255"/>
      <c r="D70" s="256"/>
      <c r="E70" s="256" t="s">
        <v>2135</v>
      </c>
    </row>
  </sheetData>
  <autoFilter ref="C1:C69"/>
  <mergeCells count="10">
    <mergeCell ref="A37:E37"/>
    <mergeCell ref="A58:E58"/>
    <mergeCell ref="A68:E68"/>
    <mergeCell ref="A61:E61"/>
    <mergeCell ref="A1:E1"/>
    <mergeCell ref="A2:E2"/>
    <mergeCell ref="A4:A5"/>
    <mergeCell ref="B4:B5"/>
    <mergeCell ref="C4:C5"/>
    <mergeCell ref="D4:D5"/>
  </mergeCells>
  <phoneticPr fontId="24" type="noConversion"/>
  <printOptions horizontalCentered="1"/>
  <pageMargins left="0.35433070866141736" right="0.23622047244094491" top="0.31496062992125984" bottom="3.937007874015748E-2" header="0.11811023622047245" footer="0.15748031496062992"/>
  <pageSetup paperSize="9" scale="50" fitToWidth="0" orientation="landscape" r:id="rId1"/>
  <headerFooter>
    <oddFooter xml:space="preserve">&amp;C
</oddFooter>
  </headerFooter>
  <rowBreaks count="2" manualBreakCount="2">
    <brk id="20" max="16383" man="1"/>
    <brk id="43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topLeftCell="A40" workbookViewId="0">
      <selection activeCell="B20" sqref="B20"/>
    </sheetView>
  </sheetViews>
  <sheetFormatPr defaultRowHeight="46.2" x14ac:dyDescent="0.7"/>
  <cols>
    <col min="1" max="1" width="12" style="187" customWidth="1"/>
    <col min="2" max="2" width="82" style="182" customWidth="1"/>
    <col min="3" max="3" width="9.109375" customWidth="1"/>
  </cols>
  <sheetData>
    <row r="1" spans="1:4" ht="43.2" thickTop="1" thickBot="1" x14ac:dyDescent="0.3">
      <c r="A1" s="191">
        <v>1</v>
      </c>
      <c r="B1" s="194" t="s">
        <v>2068</v>
      </c>
    </row>
    <row r="2" spans="1:4" ht="46.8" thickBot="1" x14ac:dyDescent="0.3">
      <c r="A2" s="192">
        <v>2</v>
      </c>
      <c r="B2" s="181" t="s">
        <v>2096</v>
      </c>
    </row>
    <row r="3" spans="1:4" ht="48" thickBot="1" x14ac:dyDescent="0.3">
      <c r="A3" s="192">
        <v>3</v>
      </c>
      <c r="B3" s="189" t="s">
        <v>190</v>
      </c>
    </row>
    <row r="4" spans="1:4" ht="46.8" thickBot="1" x14ac:dyDescent="0.7">
      <c r="A4" s="192">
        <v>4</v>
      </c>
      <c r="B4" s="181" t="s">
        <v>2095</v>
      </c>
      <c r="D4" s="179"/>
    </row>
    <row r="5" spans="1:4" ht="46.8" thickBot="1" x14ac:dyDescent="0.3">
      <c r="A5" s="192">
        <v>5</v>
      </c>
      <c r="B5" s="181" t="s">
        <v>405</v>
      </c>
    </row>
    <row r="6" spans="1:4" ht="46.8" thickBot="1" x14ac:dyDescent="0.3">
      <c r="A6" s="192">
        <v>6</v>
      </c>
      <c r="B6" s="181" t="s">
        <v>221</v>
      </c>
    </row>
    <row r="7" spans="1:4" ht="46.8" thickBot="1" x14ac:dyDescent="0.3">
      <c r="A7" s="192">
        <v>7</v>
      </c>
      <c r="B7" s="181" t="s">
        <v>2097</v>
      </c>
    </row>
    <row r="8" spans="1:4" ht="46.8" thickBot="1" x14ac:dyDescent="0.3">
      <c r="A8" s="192">
        <v>8</v>
      </c>
      <c r="B8" s="181" t="s">
        <v>452</v>
      </c>
    </row>
    <row r="9" spans="1:4" ht="46.8" thickBot="1" x14ac:dyDescent="0.3">
      <c r="A9" s="192">
        <v>9</v>
      </c>
      <c r="B9" s="181" t="s">
        <v>527</v>
      </c>
    </row>
    <row r="10" spans="1:4" ht="53.4" thickBot="1" x14ac:dyDescent="0.3">
      <c r="A10" s="192">
        <v>10</v>
      </c>
      <c r="B10" s="181" t="s">
        <v>575</v>
      </c>
    </row>
    <row r="11" spans="1:4" ht="53.4" thickBot="1" x14ac:dyDescent="0.3">
      <c r="A11" s="192">
        <v>11</v>
      </c>
      <c r="B11" s="181" t="s">
        <v>501</v>
      </c>
    </row>
    <row r="12" spans="1:4" ht="53.4" thickBot="1" x14ac:dyDescent="0.3">
      <c r="A12" s="192">
        <v>12</v>
      </c>
      <c r="B12" s="181" t="s">
        <v>596</v>
      </c>
    </row>
    <row r="13" spans="1:4" ht="53.4" thickBot="1" x14ac:dyDescent="0.3">
      <c r="A13" s="192">
        <v>13</v>
      </c>
      <c r="B13" s="181" t="s">
        <v>670</v>
      </c>
    </row>
    <row r="14" spans="1:4" ht="53.4" thickBot="1" x14ac:dyDescent="0.3">
      <c r="A14" s="192">
        <v>14</v>
      </c>
      <c r="B14" s="181" t="s">
        <v>725</v>
      </c>
    </row>
    <row r="15" spans="1:4" ht="54" thickBot="1" x14ac:dyDescent="0.3">
      <c r="A15" s="192">
        <v>15</v>
      </c>
      <c r="B15" s="181" t="s">
        <v>777</v>
      </c>
    </row>
    <row r="16" spans="1:4" ht="53.4" thickBot="1" x14ac:dyDescent="0.3">
      <c r="A16" s="192">
        <v>16</v>
      </c>
      <c r="B16" s="181" t="s">
        <v>826</v>
      </c>
    </row>
    <row r="17" spans="1:2" ht="53.4" thickBot="1" x14ac:dyDescent="0.3">
      <c r="A17" s="192">
        <v>17</v>
      </c>
      <c r="B17" s="181" t="s">
        <v>801</v>
      </c>
    </row>
    <row r="18" spans="1:2" ht="53.4" thickBot="1" x14ac:dyDescent="0.3">
      <c r="A18" s="192">
        <v>18</v>
      </c>
      <c r="B18" s="195" t="s">
        <v>871</v>
      </c>
    </row>
    <row r="19" spans="1:2" ht="53.4" thickBot="1" x14ac:dyDescent="0.3">
      <c r="A19" s="192">
        <v>19</v>
      </c>
      <c r="B19" s="181" t="s">
        <v>2081</v>
      </c>
    </row>
    <row r="20" spans="1:2" ht="53.4" thickBot="1" x14ac:dyDescent="0.3">
      <c r="A20" s="192">
        <v>20</v>
      </c>
      <c r="B20" s="181" t="s">
        <v>1005</v>
      </c>
    </row>
    <row r="21" spans="1:2" ht="53.4" thickBot="1" x14ac:dyDescent="0.3">
      <c r="A21" s="192">
        <v>21</v>
      </c>
      <c r="B21" s="181" t="s">
        <v>2080</v>
      </c>
    </row>
    <row r="22" spans="1:2" ht="53.4" thickBot="1" x14ac:dyDescent="0.3">
      <c r="A22" s="192">
        <v>22</v>
      </c>
      <c r="B22" s="181" t="s">
        <v>927</v>
      </c>
    </row>
    <row r="23" spans="1:2" ht="53.4" thickBot="1" x14ac:dyDescent="0.3">
      <c r="A23" s="192">
        <v>23</v>
      </c>
      <c r="B23" s="181" t="s">
        <v>901</v>
      </c>
    </row>
    <row r="24" spans="1:2" ht="53.4" thickBot="1" x14ac:dyDescent="0.3">
      <c r="A24" s="192">
        <v>24</v>
      </c>
      <c r="B24" s="181" t="s">
        <v>1025</v>
      </c>
    </row>
    <row r="25" spans="1:2" ht="54" thickBot="1" x14ac:dyDescent="0.3">
      <c r="A25" s="192">
        <v>25</v>
      </c>
      <c r="B25" s="181" t="s">
        <v>1192</v>
      </c>
    </row>
    <row r="26" spans="1:2" ht="53.4" thickBot="1" x14ac:dyDescent="0.3">
      <c r="A26" s="192">
        <v>26</v>
      </c>
      <c r="B26" s="181" t="s">
        <v>2094</v>
      </c>
    </row>
    <row r="27" spans="1:2" ht="53.4" thickBot="1" x14ac:dyDescent="0.3">
      <c r="A27" s="192">
        <v>27</v>
      </c>
      <c r="B27" s="189" t="s">
        <v>1055</v>
      </c>
    </row>
    <row r="28" spans="1:2" ht="53.4" thickBot="1" x14ac:dyDescent="0.3">
      <c r="A28" s="192">
        <v>28</v>
      </c>
      <c r="B28" s="181" t="s">
        <v>1126</v>
      </c>
    </row>
    <row r="29" spans="1:2" ht="53.4" thickBot="1" x14ac:dyDescent="0.3">
      <c r="A29" s="192">
        <v>29</v>
      </c>
      <c r="B29" s="181" t="s">
        <v>1151</v>
      </c>
    </row>
    <row r="30" spans="1:2" ht="53.4" thickBot="1" x14ac:dyDescent="0.3">
      <c r="A30" s="192">
        <v>30</v>
      </c>
      <c r="B30" s="181" t="s">
        <v>1170</v>
      </c>
    </row>
    <row r="31" spans="1:2" ht="53.4" thickBot="1" x14ac:dyDescent="0.3">
      <c r="A31" s="192">
        <v>31</v>
      </c>
      <c r="B31" s="181" t="s">
        <v>1359</v>
      </c>
    </row>
    <row r="32" spans="1:2" ht="53.4" thickBot="1" x14ac:dyDescent="0.3">
      <c r="A32" s="192">
        <v>32</v>
      </c>
      <c r="B32" s="181" t="s">
        <v>1232</v>
      </c>
    </row>
    <row r="33" spans="1:2" ht="53.4" thickBot="1" x14ac:dyDescent="0.3">
      <c r="A33" s="192">
        <v>33</v>
      </c>
      <c r="B33" s="181" t="s">
        <v>1250</v>
      </c>
    </row>
    <row r="34" spans="1:2" ht="53.4" thickBot="1" x14ac:dyDescent="0.3">
      <c r="A34" s="192">
        <v>34</v>
      </c>
      <c r="B34" s="181" t="s">
        <v>1274</v>
      </c>
    </row>
    <row r="35" spans="1:2" ht="54" thickBot="1" x14ac:dyDescent="0.3">
      <c r="A35" s="192">
        <v>35</v>
      </c>
      <c r="B35" s="181" t="s">
        <v>1298</v>
      </c>
    </row>
    <row r="36" spans="1:2" ht="53.4" thickBot="1" x14ac:dyDescent="0.3">
      <c r="A36" s="192">
        <v>36</v>
      </c>
      <c r="B36" s="181" t="s">
        <v>1333</v>
      </c>
    </row>
    <row r="37" spans="1:2" ht="53.4" thickBot="1" x14ac:dyDescent="0.3">
      <c r="A37" s="192">
        <v>37</v>
      </c>
      <c r="B37" s="181" t="s">
        <v>1404</v>
      </c>
    </row>
    <row r="38" spans="1:2" ht="53.4" thickBot="1" x14ac:dyDescent="0.3">
      <c r="A38" s="192">
        <v>38</v>
      </c>
      <c r="B38" s="181" t="s">
        <v>1433</v>
      </c>
    </row>
    <row r="39" spans="1:2" ht="53.4" thickBot="1" x14ac:dyDescent="0.3">
      <c r="A39" s="192">
        <v>39</v>
      </c>
      <c r="B39" s="181" t="s">
        <v>1451</v>
      </c>
    </row>
    <row r="40" spans="1:2" ht="53.4" thickBot="1" x14ac:dyDescent="0.3">
      <c r="A40" s="192">
        <v>40</v>
      </c>
      <c r="B40" s="181" t="s">
        <v>2084</v>
      </c>
    </row>
    <row r="41" spans="1:2" ht="53.4" thickBot="1" x14ac:dyDescent="0.3">
      <c r="A41" s="192">
        <v>41</v>
      </c>
      <c r="B41" s="181" t="s">
        <v>1379</v>
      </c>
    </row>
    <row r="42" spans="1:2" ht="53.4" thickBot="1" x14ac:dyDescent="0.3">
      <c r="A42" s="192">
        <v>42</v>
      </c>
      <c r="B42" s="181" t="s">
        <v>1469</v>
      </c>
    </row>
    <row r="43" spans="1:2" ht="53.4" thickBot="1" x14ac:dyDescent="0.3">
      <c r="A43" s="192">
        <v>43</v>
      </c>
      <c r="B43" s="181" t="s">
        <v>1485</v>
      </c>
    </row>
    <row r="44" spans="1:2" ht="53.4" thickBot="1" x14ac:dyDescent="0.3">
      <c r="A44" s="192">
        <v>44</v>
      </c>
      <c r="B44" s="186" t="s">
        <v>2098</v>
      </c>
    </row>
    <row r="45" spans="1:2" ht="54" thickBot="1" x14ac:dyDescent="0.3">
      <c r="A45" s="192">
        <v>45</v>
      </c>
      <c r="B45" s="181" t="s">
        <v>1564</v>
      </c>
    </row>
    <row r="46" spans="1:2" ht="53.4" thickBot="1" x14ac:dyDescent="0.3">
      <c r="A46" s="192">
        <v>46</v>
      </c>
      <c r="B46" s="181" t="s">
        <v>2085</v>
      </c>
    </row>
    <row r="47" spans="1:2" ht="53.4" thickBot="1" x14ac:dyDescent="0.3">
      <c r="A47" s="192">
        <v>47</v>
      </c>
      <c r="B47" s="181" t="s">
        <v>1524</v>
      </c>
    </row>
    <row r="48" spans="1:2" ht="53.4" thickBot="1" x14ac:dyDescent="0.3">
      <c r="A48" s="192">
        <v>48</v>
      </c>
      <c r="B48" s="181" t="s">
        <v>1534</v>
      </c>
    </row>
    <row r="49" spans="1:5" ht="53.4" thickBot="1" x14ac:dyDescent="0.3">
      <c r="A49" s="192">
        <v>49</v>
      </c>
      <c r="B49" s="181" t="s">
        <v>1578</v>
      </c>
    </row>
    <row r="50" spans="1:5" ht="54" thickBot="1" x14ac:dyDescent="0.3">
      <c r="A50" s="192">
        <v>50</v>
      </c>
      <c r="B50" s="181" t="s">
        <v>1600</v>
      </c>
    </row>
    <row r="51" spans="1:5" ht="54" thickBot="1" x14ac:dyDescent="0.3">
      <c r="A51" s="192">
        <v>51</v>
      </c>
      <c r="B51" s="181" t="s">
        <v>2101</v>
      </c>
    </row>
    <row r="52" spans="1:5" ht="54" thickBot="1" x14ac:dyDescent="0.3">
      <c r="A52" s="192">
        <v>52</v>
      </c>
      <c r="B52" s="186" t="s">
        <v>2100</v>
      </c>
    </row>
    <row r="53" spans="1:5" ht="54" thickBot="1" x14ac:dyDescent="0.3">
      <c r="A53" s="192">
        <v>53</v>
      </c>
      <c r="B53" s="181" t="s">
        <v>2001</v>
      </c>
    </row>
    <row r="54" spans="1:5" ht="54" thickBot="1" x14ac:dyDescent="0.3">
      <c r="A54" s="192">
        <v>54</v>
      </c>
      <c r="B54" s="181" t="s">
        <v>2002</v>
      </c>
      <c r="D54" s="157"/>
      <c r="E54" s="178"/>
    </row>
    <row r="55" spans="1:5" ht="54.6" thickBot="1" x14ac:dyDescent="0.3">
      <c r="A55" s="192">
        <v>55</v>
      </c>
      <c r="B55" s="181" t="s">
        <v>2003</v>
      </c>
      <c r="D55" s="157"/>
      <c r="E55" s="177"/>
    </row>
    <row r="56" spans="1:5" ht="54" thickBot="1" x14ac:dyDescent="0.3">
      <c r="A56" s="192">
        <v>56</v>
      </c>
      <c r="B56" s="186" t="s">
        <v>2005</v>
      </c>
      <c r="D56" s="157"/>
      <c r="E56" s="177"/>
    </row>
    <row r="57" spans="1:5" ht="54" thickBot="1" x14ac:dyDescent="0.3">
      <c r="A57" s="192">
        <v>57</v>
      </c>
      <c r="B57" s="181" t="s">
        <v>1610</v>
      </c>
      <c r="D57" s="157"/>
      <c r="E57" s="177"/>
    </row>
    <row r="58" spans="1:5" ht="54" thickBot="1" x14ac:dyDescent="0.3">
      <c r="A58" s="192">
        <v>58</v>
      </c>
      <c r="B58" s="188" t="s">
        <v>2099</v>
      </c>
      <c r="D58" s="157"/>
      <c r="E58" s="177"/>
    </row>
    <row r="59" spans="1:5" ht="54" thickBot="1" x14ac:dyDescent="0.3">
      <c r="A59" s="192">
        <v>59</v>
      </c>
      <c r="B59" s="181" t="s">
        <v>2093</v>
      </c>
      <c r="D59" s="157"/>
      <c r="E59" s="177"/>
    </row>
    <row r="60" spans="1:5" ht="53.4" thickBot="1" x14ac:dyDescent="0.3">
      <c r="A60" s="192">
        <v>60</v>
      </c>
      <c r="B60" s="181" t="s">
        <v>2075</v>
      </c>
      <c r="D60" s="157"/>
      <c r="E60" s="177"/>
    </row>
    <row r="61" spans="1:5" ht="53.4" thickBot="1" x14ac:dyDescent="0.3">
      <c r="A61" s="192">
        <v>61</v>
      </c>
      <c r="B61" s="181" t="s">
        <v>2078</v>
      </c>
      <c r="D61" s="157"/>
      <c r="E61" s="177"/>
    </row>
    <row r="62" spans="1:5" ht="53.4" thickBot="1" x14ac:dyDescent="0.3">
      <c r="A62" s="192">
        <v>62</v>
      </c>
      <c r="B62" s="180" t="s">
        <v>1514</v>
      </c>
      <c r="E62" s="177"/>
    </row>
    <row r="63" spans="1:5" ht="53.4" thickBot="1" x14ac:dyDescent="0.3">
      <c r="A63" s="192">
        <v>63</v>
      </c>
      <c r="B63" s="184" t="s">
        <v>2062</v>
      </c>
      <c r="E63" s="177"/>
    </row>
    <row r="64" spans="1:5" ht="53.4" thickBot="1" x14ac:dyDescent="0.3">
      <c r="A64" s="192">
        <v>64</v>
      </c>
      <c r="B64" s="181" t="s">
        <v>2006</v>
      </c>
      <c r="E64" s="177"/>
    </row>
    <row r="65" spans="1:5" ht="54" thickBot="1" x14ac:dyDescent="0.3">
      <c r="A65" s="192">
        <v>65</v>
      </c>
      <c r="B65" s="185" t="s">
        <v>2007</v>
      </c>
      <c r="E65" s="177"/>
    </row>
    <row r="66" spans="1:5" ht="53.4" thickBot="1" x14ac:dyDescent="0.3">
      <c r="A66" s="192">
        <v>66</v>
      </c>
      <c r="B66" s="181" t="s">
        <v>2008</v>
      </c>
      <c r="E66" s="177"/>
    </row>
    <row r="67" spans="1:5" ht="53.4" thickBot="1" x14ac:dyDescent="0.3">
      <c r="A67" s="192">
        <v>67</v>
      </c>
      <c r="B67" s="181" t="s">
        <v>2010</v>
      </c>
      <c r="E67" s="177"/>
    </row>
    <row r="68" spans="1:5" ht="53.4" thickBot="1" x14ac:dyDescent="0.3">
      <c r="A68" s="192">
        <v>68</v>
      </c>
      <c r="B68" s="181" t="s">
        <v>2011</v>
      </c>
      <c r="E68" s="177"/>
    </row>
    <row r="69" spans="1:5" ht="53.4" thickBot="1" x14ac:dyDescent="0.3">
      <c r="A69" s="192">
        <v>69</v>
      </c>
      <c r="B69" s="181" t="s">
        <v>2012</v>
      </c>
      <c r="E69" s="177"/>
    </row>
    <row r="70" spans="1:5" ht="53.4" thickBot="1" x14ac:dyDescent="0.3">
      <c r="A70" s="192">
        <v>70</v>
      </c>
      <c r="B70" s="181" t="s">
        <v>1658</v>
      </c>
      <c r="D70" s="157"/>
      <c r="E70" s="177"/>
    </row>
    <row r="71" spans="1:5" ht="53.4" thickBot="1" x14ac:dyDescent="0.3">
      <c r="A71" s="192">
        <v>71</v>
      </c>
      <c r="B71" s="181" t="s">
        <v>1688</v>
      </c>
      <c r="D71" s="157"/>
      <c r="E71" s="177"/>
    </row>
    <row r="72" spans="1:5" ht="53.4" thickBot="1" x14ac:dyDescent="0.3">
      <c r="A72" s="192">
        <v>72</v>
      </c>
      <c r="B72" s="181" t="s">
        <v>1704</v>
      </c>
    </row>
    <row r="73" spans="1:5" ht="53.4" thickBot="1" x14ac:dyDescent="0.3">
      <c r="A73" s="192">
        <v>73</v>
      </c>
      <c r="B73" s="181" t="s">
        <v>1720</v>
      </c>
    </row>
    <row r="74" spans="1:5" ht="53.4" thickBot="1" x14ac:dyDescent="0.3">
      <c r="A74" s="192">
        <v>74</v>
      </c>
      <c r="B74" s="181" t="s">
        <v>1734</v>
      </c>
    </row>
    <row r="75" spans="1:5" ht="54" thickBot="1" x14ac:dyDescent="0.3">
      <c r="A75" s="192">
        <v>75</v>
      </c>
      <c r="B75" s="181" t="s">
        <v>1760</v>
      </c>
    </row>
    <row r="76" spans="1:5" ht="53.4" thickBot="1" x14ac:dyDescent="0.3">
      <c r="A76" s="192">
        <v>76</v>
      </c>
      <c r="B76" s="181" t="s">
        <v>1770</v>
      </c>
    </row>
    <row r="77" spans="1:5" ht="53.4" thickBot="1" x14ac:dyDescent="0.3">
      <c r="A77" s="192">
        <v>77</v>
      </c>
      <c r="B77" s="181" t="s">
        <v>1791</v>
      </c>
    </row>
    <row r="78" spans="1:5" ht="53.4" thickBot="1" x14ac:dyDescent="0.3">
      <c r="A78" s="192">
        <v>78</v>
      </c>
      <c r="B78" s="181" t="s">
        <v>1802</v>
      </c>
    </row>
    <row r="79" spans="1:5" ht="53.4" thickBot="1" x14ac:dyDescent="0.3">
      <c r="A79" s="192">
        <v>79</v>
      </c>
      <c r="B79" s="181" t="s">
        <v>1816</v>
      </c>
    </row>
    <row r="80" spans="1:5" ht="53.4" thickBot="1" x14ac:dyDescent="0.3">
      <c r="A80" s="192">
        <v>80</v>
      </c>
      <c r="B80" s="181" t="s">
        <v>1826</v>
      </c>
    </row>
    <row r="81" spans="1:2" ht="53.4" thickBot="1" x14ac:dyDescent="0.3">
      <c r="A81" s="192">
        <v>81</v>
      </c>
      <c r="B81" s="181" t="s">
        <v>1852</v>
      </c>
    </row>
    <row r="82" spans="1:2" ht="53.4" thickBot="1" x14ac:dyDescent="0.3">
      <c r="A82" s="192">
        <v>82</v>
      </c>
      <c r="B82" s="181" t="s">
        <v>1859</v>
      </c>
    </row>
    <row r="83" spans="1:2" ht="53.4" thickBot="1" x14ac:dyDescent="0.3">
      <c r="A83" s="192">
        <v>83</v>
      </c>
      <c r="B83" s="181" t="s">
        <v>1843</v>
      </c>
    </row>
    <row r="84" spans="1:2" ht="53.4" thickBot="1" x14ac:dyDescent="0.3">
      <c r="A84" s="192">
        <v>84</v>
      </c>
      <c r="B84" s="181" t="s">
        <v>1867</v>
      </c>
    </row>
    <row r="85" spans="1:2" ht="54" thickBot="1" x14ac:dyDescent="0.3">
      <c r="A85" s="192">
        <v>85</v>
      </c>
      <c r="B85" s="181" t="s">
        <v>1876</v>
      </c>
    </row>
    <row r="86" spans="1:2" ht="53.4" thickBot="1" x14ac:dyDescent="0.3">
      <c r="A86" s="192">
        <v>86</v>
      </c>
      <c r="B86" s="190" t="s">
        <v>1884</v>
      </c>
    </row>
    <row r="87" spans="1:2" ht="53.4" thickBot="1" x14ac:dyDescent="0.3">
      <c r="A87" s="192">
        <v>87</v>
      </c>
      <c r="B87" s="181" t="s">
        <v>1891</v>
      </c>
    </row>
    <row r="88" spans="1:2" ht="53.4" thickBot="1" x14ac:dyDescent="0.3">
      <c r="A88" s="192">
        <v>88</v>
      </c>
      <c r="B88" s="181" t="s">
        <v>1896</v>
      </c>
    </row>
    <row r="89" spans="1:2" ht="53.4" thickBot="1" x14ac:dyDescent="0.3">
      <c r="A89" s="192">
        <v>89</v>
      </c>
      <c r="B89" s="181" t="s">
        <v>1904</v>
      </c>
    </row>
    <row r="90" spans="1:2" ht="53.4" thickBot="1" x14ac:dyDescent="0.3">
      <c r="A90" s="192">
        <v>90</v>
      </c>
      <c r="B90" s="181" t="s">
        <v>1911</v>
      </c>
    </row>
    <row r="91" spans="1:2" ht="53.4" thickBot="1" x14ac:dyDescent="0.3">
      <c r="A91" s="192">
        <v>91</v>
      </c>
      <c r="B91" s="181" t="s">
        <v>1918</v>
      </c>
    </row>
    <row r="92" spans="1:2" ht="53.4" thickBot="1" x14ac:dyDescent="0.3">
      <c r="A92" s="192">
        <v>92</v>
      </c>
      <c r="B92" s="181" t="s">
        <v>1924</v>
      </c>
    </row>
    <row r="93" spans="1:2" ht="53.4" thickBot="1" x14ac:dyDescent="0.3">
      <c r="A93" s="192">
        <v>93</v>
      </c>
      <c r="B93" s="181" t="s">
        <v>1931</v>
      </c>
    </row>
    <row r="94" spans="1:2" ht="53.4" thickBot="1" x14ac:dyDescent="0.3">
      <c r="A94" s="192">
        <v>94</v>
      </c>
      <c r="B94" s="181" t="s">
        <v>1950</v>
      </c>
    </row>
    <row r="95" spans="1:2" ht="54" thickBot="1" x14ac:dyDescent="0.3">
      <c r="A95" s="193">
        <v>95</v>
      </c>
      <c r="B95" s="183" t="s">
        <v>1957</v>
      </c>
    </row>
    <row r="96" spans="1:2" ht="46.8" thickTop="1" x14ac:dyDescent="0.7"/>
  </sheetData>
  <pageMargins left="0.43307086614173229" right="0.28000000000000003" top="0.73" bottom="0.56999999999999995" header="0.31496062992125984" footer="0.31496062992125984"/>
  <pageSetup paperSize="5" scale="9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topLeftCell="A73" workbookViewId="0">
      <selection activeCell="B16" sqref="B16"/>
    </sheetView>
  </sheetViews>
  <sheetFormatPr defaultRowHeight="13.2" x14ac:dyDescent="0.25"/>
  <cols>
    <col min="1" max="1" width="3.6640625" style="140" bestFit="1" customWidth="1"/>
    <col min="2" max="2" width="41.33203125" customWidth="1"/>
    <col min="3" max="3" width="20.88671875" style="140" customWidth="1"/>
    <col min="4" max="4" width="23.6640625" style="140" bestFit="1" customWidth="1"/>
  </cols>
  <sheetData>
    <row r="1" spans="1:4" s="3" customFormat="1" ht="22.5" customHeight="1" x14ac:dyDescent="0.25">
      <c r="A1" s="244" t="s">
        <v>3</v>
      </c>
      <c r="B1" s="244" t="s">
        <v>2141</v>
      </c>
      <c r="C1" s="244" t="s">
        <v>2127</v>
      </c>
      <c r="D1" s="244" t="s">
        <v>2142</v>
      </c>
    </row>
    <row r="2" spans="1:4" ht="14.4" x14ac:dyDescent="0.3">
      <c r="A2" s="288">
        <v>1</v>
      </c>
      <c r="B2" s="243" t="s">
        <v>2140</v>
      </c>
      <c r="C2" s="288" t="s">
        <v>2143</v>
      </c>
      <c r="D2" s="288" t="s">
        <v>2144</v>
      </c>
    </row>
    <row r="3" spans="1:4" ht="14.4" x14ac:dyDescent="0.3">
      <c r="A3" s="288">
        <f>A2+1</f>
        <v>2</v>
      </c>
      <c r="B3" s="282" t="s">
        <v>670</v>
      </c>
      <c r="C3" s="288" t="s">
        <v>2143</v>
      </c>
      <c r="D3" s="288" t="s">
        <v>2144</v>
      </c>
    </row>
    <row r="4" spans="1:4" ht="14.4" x14ac:dyDescent="0.3">
      <c r="A4" s="288">
        <f t="shared" ref="A4:A69" si="0">A3+1</f>
        <v>3</v>
      </c>
      <c r="B4" s="281" t="s">
        <v>2169</v>
      </c>
      <c r="C4" s="288" t="s">
        <v>2143</v>
      </c>
      <c r="D4" s="288" t="s">
        <v>2144</v>
      </c>
    </row>
    <row r="5" spans="1:4" ht="14.4" x14ac:dyDescent="0.3">
      <c r="A5" s="288">
        <f t="shared" si="0"/>
        <v>4</v>
      </c>
      <c r="B5" s="281" t="s">
        <v>501</v>
      </c>
      <c r="C5" s="288" t="s">
        <v>2143</v>
      </c>
      <c r="D5" s="288" t="s">
        <v>2144</v>
      </c>
    </row>
    <row r="6" spans="1:4" ht="14.4" x14ac:dyDescent="0.3">
      <c r="A6" s="288">
        <f t="shared" si="0"/>
        <v>5</v>
      </c>
      <c r="B6" s="281" t="s">
        <v>871</v>
      </c>
      <c r="C6" s="288" t="s">
        <v>2143</v>
      </c>
      <c r="D6" s="288" t="s">
        <v>2144</v>
      </c>
    </row>
    <row r="7" spans="1:4" ht="14.4" x14ac:dyDescent="0.3">
      <c r="A7" s="288">
        <f t="shared" si="0"/>
        <v>6</v>
      </c>
      <c r="B7" s="281" t="s">
        <v>777</v>
      </c>
      <c r="C7" s="288" t="s">
        <v>2143</v>
      </c>
      <c r="D7" s="288" t="s">
        <v>2144</v>
      </c>
    </row>
    <row r="8" spans="1:4" ht="14.4" x14ac:dyDescent="0.3">
      <c r="A8" s="288">
        <f t="shared" si="0"/>
        <v>7</v>
      </c>
      <c r="B8" s="283" t="s">
        <v>826</v>
      </c>
      <c r="C8" s="288" t="s">
        <v>2143</v>
      </c>
      <c r="D8" s="288" t="s">
        <v>2144</v>
      </c>
    </row>
    <row r="9" spans="1:4" ht="14.4" x14ac:dyDescent="0.3">
      <c r="A9" s="288">
        <f t="shared" si="0"/>
        <v>8</v>
      </c>
      <c r="B9" s="281" t="s">
        <v>2160</v>
      </c>
      <c r="C9" s="288" t="s">
        <v>2143</v>
      </c>
      <c r="D9" s="288" t="s">
        <v>2144</v>
      </c>
    </row>
    <row r="10" spans="1:4" ht="14.4" x14ac:dyDescent="0.3">
      <c r="A10" s="288">
        <f t="shared" si="0"/>
        <v>9</v>
      </c>
      <c r="B10" s="281" t="s">
        <v>1005</v>
      </c>
      <c r="C10" s="288" t="s">
        <v>2143</v>
      </c>
      <c r="D10" s="288" t="s">
        <v>2144</v>
      </c>
    </row>
    <row r="11" spans="1:4" ht="14.4" x14ac:dyDescent="0.3">
      <c r="A11" s="288">
        <f t="shared" si="0"/>
        <v>10</v>
      </c>
      <c r="B11" s="281" t="s">
        <v>2080</v>
      </c>
      <c r="C11" s="288" t="s">
        <v>2143</v>
      </c>
      <c r="D11" s="288" t="s">
        <v>2144</v>
      </c>
    </row>
    <row r="12" spans="1:4" ht="14.4" x14ac:dyDescent="0.3">
      <c r="A12" s="288">
        <f t="shared" si="0"/>
        <v>11</v>
      </c>
      <c r="B12" s="281" t="s">
        <v>2165</v>
      </c>
      <c r="C12" s="288" t="s">
        <v>2143</v>
      </c>
      <c r="D12" s="288" t="s">
        <v>2144</v>
      </c>
    </row>
    <row r="13" spans="1:4" ht="14.4" x14ac:dyDescent="0.3">
      <c r="A13" s="288">
        <f t="shared" si="0"/>
        <v>12</v>
      </c>
      <c r="B13" s="281" t="s">
        <v>1025</v>
      </c>
      <c r="C13" s="288" t="s">
        <v>2143</v>
      </c>
      <c r="D13" s="288" t="s">
        <v>2144</v>
      </c>
    </row>
    <row r="14" spans="1:4" ht="14.4" x14ac:dyDescent="0.3">
      <c r="A14" s="288">
        <f t="shared" si="0"/>
        <v>13</v>
      </c>
      <c r="B14" s="281" t="s">
        <v>2164</v>
      </c>
      <c r="C14" s="288" t="s">
        <v>2143</v>
      </c>
      <c r="D14" s="288" t="s">
        <v>2144</v>
      </c>
    </row>
    <row r="15" spans="1:4" ht="14.4" x14ac:dyDescent="0.3">
      <c r="A15" s="288">
        <f t="shared" si="0"/>
        <v>14</v>
      </c>
      <c r="B15" s="281" t="s">
        <v>1170</v>
      </c>
      <c r="C15" s="288" t="s">
        <v>2143</v>
      </c>
      <c r="D15" s="288" t="s">
        <v>2144</v>
      </c>
    </row>
    <row r="16" spans="1:4" ht="14.4" x14ac:dyDescent="0.3">
      <c r="A16" s="288">
        <f t="shared" si="0"/>
        <v>15</v>
      </c>
      <c r="B16" s="281" t="s">
        <v>1274</v>
      </c>
      <c r="C16" s="288" t="s">
        <v>2143</v>
      </c>
      <c r="D16" s="288" t="s">
        <v>2144</v>
      </c>
    </row>
    <row r="17" spans="1:4" ht="14.4" x14ac:dyDescent="0.3">
      <c r="A17" s="288">
        <f t="shared" si="0"/>
        <v>16</v>
      </c>
      <c r="B17" s="281" t="s">
        <v>1298</v>
      </c>
      <c r="C17" s="288" t="s">
        <v>2143</v>
      </c>
      <c r="D17" s="288" t="s">
        <v>2144</v>
      </c>
    </row>
    <row r="18" spans="1:4" ht="14.4" x14ac:dyDescent="0.3">
      <c r="A18" s="288">
        <f t="shared" si="0"/>
        <v>17</v>
      </c>
      <c r="B18" s="281" t="s">
        <v>1333</v>
      </c>
      <c r="C18" s="288" t="s">
        <v>2143</v>
      </c>
      <c r="D18" s="288" t="s">
        <v>2144</v>
      </c>
    </row>
    <row r="19" spans="1:4" ht="14.4" x14ac:dyDescent="0.3">
      <c r="A19" s="288">
        <f t="shared" si="0"/>
        <v>18</v>
      </c>
      <c r="B19" s="281" t="s">
        <v>2162</v>
      </c>
      <c r="C19" s="288" t="s">
        <v>2143</v>
      </c>
      <c r="D19" s="288" t="s">
        <v>2144</v>
      </c>
    </row>
    <row r="20" spans="1:4" ht="14.4" x14ac:dyDescent="0.3">
      <c r="A20" s="288">
        <f t="shared" si="0"/>
        <v>19</v>
      </c>
      <c r="B20" s="284" t="s">
        <v>2170</v>
      </c>
      <c r="C20" s="288" t="s">
        <v>2143</v>
      </c>
      <c r="D20" s="288" t="s">
        <v>2144</v>
      </c>
    </row>
    <row r="21" spans="1:4" ht="14.4" x14ac:dyDescent="0.3">
      <c r="A21" s="288">
        <f t="shared" si="0"/>
        <v>20</v>
      </c>
      <c r="B21" s="281" t="s">
        <v>1359</v>
      </c>
      <c r="C21" s="288" t="s">
        <v>2143</v>
      </c>
      <c r="D21" s="288" t="s">
        <v>2144</v>
      </c>
    </row>
    <row r="22" spans="1:4" ht="14.4" x14ac:dyDescent="0.3">
      <c r="A22" s="288">
        <f t="shared" si="0"/>
        <v>21</v>
      </c>
      <c r="B22" s="281" t="s">
        <v>2166</v>
      </c>
      <c r="C22" s="288" t="s">
        <v>2143</v>
      </c>
      <c r="D22" s="288" t="s">
        <v>2144</v>
      </c>
    </row>
    <row r="23" spans="1:4" ht="14.4" x14ac:dyDescent="0.3">
      <c r="A23" s="288">
        <f t="shared" si="0"/>
        <v>22</v>
      </c>
      <c r="B23" s="281" t="s">
        <v>2168</v>
      </c>
      <c r="C23" s="288" t="s">
        <v>2143</v>
      </c>
      <c r="D23" s="288" t="s">
        <v>2144</v>
      </c>
    </row>
    <row r="24" spans="1:4" ht="14.4" x14ac:dyDescent="0.3">
      <c r="A24" s="288">
        <f t="shared" si="0"/>
        <v>23</v>
      </c>
      <c r="B24" s="281" t="s">
        <v>1433</v>
      </c>
      <c r="C24" s="288" t="s">
        <v>2143</v>
      </c>
      <c r="D24" s="288" t="s">
        <v>2144</v>
      </c>
    </row>
    <row r="25" spans="1:4" ht="14.4" x14ac:dyDescent="0.3">
      <c r="A25" s="288">
        <f t="shared" si="0"/>
        <v>24</v>
      </c>
      <c r="B25" s="283" t="s">
        <v>2167</v>
      </c>
      <c r="C25" s="288" t="s">
        <v>2143</v>
      </c>
      <c r="D25" s="288" t="s">
        <v>2144</v>
      </c>
    </row>
    <row r="26" spans="1:4" ht="14.4" x14ac:dyDescent="0.3">
      <c r="A26" s="288">
        <f t="shared" si="0"/>
        <v>25</v>
      </c>
      <c r="B26" s="281" t="s">
        <v>2084</v>
      </c>
      <c r="C26" s="288" t="s">
        <v>2143</v>
      </c>
      <c r="D26" s="288" t="s">
        <v>2144</v>
      </c>
    </row>
    <row r="27" spans="1:4" ht="14.4" x14ac:dyDescent="0.3">
      <c r="A27" s="288">
        <f t="shared" si="0"/>
        <v>26</v>
      </c>
      <c r="B27" s="281" t="s">
        <v>1379</v>
      </c>
      <c r="C27" s="288" t="s">
        <v>2143</v>
      </c>
      <c r="D27" s="288" t="s">
        <v>2144</v>
      </c>
    </row>
    <row r="28" spans="1:4" ht="14.4" x14ac:dyDescent="0.3">
      <c r="A28" s="288">
        <f t="shared" si="0"/>
        <v>27</v>
      </c>
      <c r="B28" s="281" t="s">
        <v>2066</v>
      </c>
      <c r="C28" s="288" t="s">
        <v>2143</v>
      </c>
      <c r="D28" s="288" t="s">
        <v>2144</v>
      </c>
    </row>
    <row r="29" spans="1:4" ht="14.4" x14ac:dyDescent="0.3">
      <c r="A29" s="288">
        <f t="shared" si="0"/>
        <v>28</v>
      </c>
      <c r="B29" s="281" t="s">
        <v>1469</v>
      </c>
      <c r="C29" s="288" t="s">
        <v>2143</v>
      </c>
      <c r="D29" s="288" t="s">
        <v>2144</v>
      </c>
    </row>
    <row r="30" spans="1:4" ht="14.4" x14ac:dyDescent="0.3">
      <c r="A30" s="288">
        <f t="shared" si="0"/>
        <v>29</v>
      </c>
      <c r="B30" s="281" t="s">
        <v>1232</v>
      </c>
      <c r="C30" s="288" t="s">
        <v>2143</v>
      </c>
      <c r="D30" s="288" t="s">
        <v>2144</v>
      </c>
    </row>
    <row r="31" spans="1:4" ht="15.6" x14ac:dyDescent="0.3">
      <c r="A31" s="288">
        <f t="shared" si="0"/>
        <v>30</v>
      </c>
      <c r="B31" s="290" t="s">
        <v>2085</v>
      </c>
      <c r="C31" s="288" t="s">
        <v>2143</v>
      </c>
      <c r="D31" s="288" t="s">
        <v>2144</v>
      </c>
    </row>
    <row r="32" spans="1:4" ht="15.6" x14ac:dyDescent="0.3">
      <c r="A32" s="288">
        <f t="shared" si="0"/>
        <v>31</v>
      </c>
      <c r="B32" s="290" t="s">
        <v>1524</v>
      </c>
      <c r="C32" s="288" t="s">
        <v>2143</v>
      </c>
      <c r="D32" s="288" t="s">
        <v>2144</v>
      </c>
    </row>
    <row r="33" spans="1:4" ht="15.6" x14ac:dyDescent="0.3">
      <c r="A33" s="288">
        <f t="shared" si="0"/>
        <v>32</v>
      </c>
      <c r="B33" s="290" t="s">
        <v>1534</v>
      </c>
      <c r="C33" s="288" t="s">
        <v>2143</v>
      </c>
      <c r="D33" s="288" t="s">
        <v>2144</v>
      </c>
    </row>
    <row r="34" spans="1:4" ht="15.6" x14ac:dyDescent="0.3">
      <c r="A34" s="288">
        <f t="shared" si="0"/>
        <v>33</v>
      </c>
      <c r="B34" s="290" t="s">
        <v>1578</v>
      </c>
      <c r="C34" s="288" t="s">
        <v>2143</v>
      </c>
      <c r="D34" s="288" t="s">
        <v>2144</v>
      </c>
    </row>
    <row r="35" spans="1:4" ht="15.6" x14ac:dyDescent="0.3">
      <c r="A35" s="288">
        <f t="shared" si="0"/>
        <v>34</v>
      </c>
      <c r="B35" s="290" t="s">
        <v>2152</v>
      </c>
      <c r="C35" s="288" t="s">
        <v>2143</v>
      </c>
      <c r="D35" s="288" t="s">
        <v>2144</v>
      </c>
    </row>
    <row r="36" spans="1:4" ht="15.6" x14ac:dyDescent="0.3">
      <c r="A36" s="288">
        <f t="shared" si="0"/>
        <v>35</v>
      </c>
      <c r="B36" s="290" t="s">
        <v>1998</v>
      </c>
      <c r="C36" s="288" t="s">
        <v>2143</v>
      </c>
      <c r="D36" s="288" t="s">
        <v>2144</v>
      </c>
    </row>
    <row r="37" spans="1:4" ht="15.6" x14ac:dyDescent="0.3">
      <c r="A37" s="288">
        <f t="shared" si="0"/>
        <v>36</v>
      </c>
      <c r="B37" s="290" t="s">
        <v>1999</v>
      </c>
      <c r="C37" s="288" t="s">
        <v>2143</v>
      </c>
      <c r="D37" s="288" t="s">
        <v>2144</v>
      </c>
    </row>
    <row r="38" spans="1:4" ht="15.6" x14ac:dyDescent="0.3">
      <c r="A38" s="288">
        <f t="shared" si="0"/>
        <v>37</v>
      </c>
      <c r="B38" s="290" t="s">
        <v>2002</v>
      </c>
      <c r="C38" s="288" t="s">
        <v>2143</v>
      </c>
      <c r="D38" s="288" t="s">
        <v>2144</v>
      </c>
    </row>
    <row r="39" spans="1:4" ht="15.6" x14ac:dyDescent="0.3">
      <c r="A39" s="288">
        <f t="shared" si="0"/>
        <v>38</v>
      </c>
      <c r="B39" s="290" t="s">
        <v>2003</v>
      </c>
      <c r="C39" s="288" t="s">
        <v>2143</v>
      </c>
      <c r="D39" s="288" t="s">
        <v>2144</v>
      </c>
    </row>
    <row r="40" spans="1:4" ht="15.6" x14ac:dyDescent="0.3">
      <c r="A40" s="288">
        <f t="shared" si="0"/>
        <v>39</v>
      </c>
      <c r="B40" s="290" t="s">
        <v>1610</v>
      </c>
      <c r="C40" s="288" t="s">
        <v>2143</v>
      </c>
      <c r="D40" s="288" t="s">
        <v>2144</v>
      </c>
    </row>
    <row r="41" spans="1:4" ht="15.6" x14ac:dyDescent="0.3">
      <c r="A41" s="288">
        <f t="shared" si="0"/>
        <v>40</v>
      </c>
      <c r="B41" s="290" t="s">
        <v>2128</v>
      </c>
      <c r="C41" s="288" t="s">
        <v>2143</v>
      </c>
      <c r="D41" s="288" t="s">
        <v>2144</v>
      </c>
    </row>
    <row r="42" spans="1:4" ht="15.6" x14ac:dyDescent="0.3">
      <c r="A42" s="288">
        <f t="shared" si="0"/>
        <v>41</v>
      </c>
      <c r="B42" s="291" t="s">
        <v>2093</v>
      </c>
      <c r="C42" s="288" t="s">
        <v>2143</v>
      </c>
      <c r="D42" s="288" t="s">
        <v>2144</v>
      </c>
    </row>
    <row r="43" spans="1:4" ht="15.6" x14ac:dyDescent="0.3">
      <c r="A43" s="288">
        <f t="shared" si="0"/>
        <v>42</v>
      </c>
      <c r="B43" s="290" t="s">
        <v>2075</v>
      </c>
      <c r="C43" s="288" t="s">
        <v>2143</v>
      </c>
      <c r="D43" s="288" t="s">
        <v>2144</v>
      </c>
    </row>
    <row r="44" spans="1:4" ht="15.6" x14ac:dyDescent="0.3">
      <c r="A44" s="288">
        <f t="shared" si="0"/>
        <v>43</v>
      </c>
      <c r="B44" s="290" t="s">
        <v>2078</v>
      </c>
      <c r="C44" s="288" t="s">
        <v>2143</v>
      </c>
      <c r="D44" s="288" t="s">
        <v>2144</v>
      </c>
    </row>
    <row r="45" spans="1:4" ht="15.6" x14ac:dyDescent="0.3">
      <c r="A45" s="288">
        <f t="shared" si="0"/>
        <v>44</v>
      </c>
      <c r="B45" s="286" t="s">
        <v>1514</v>
      </c>
      <c r="C45" s="288" t="s">
        <v>2143</v>
      </c>
      <c r="D45" s="288" t="s">
        <v>2144</v>
      </c>
    </row>
    <row r="46" spans="1:4" ht="15.6" x14ac:dyDescent="0.3">
      <c r="A46" s="288">
        <f t="shared" si="0"/>
        <v>45</v>
      </c>
      <c r="B46" s="290" t="s">
        <v>2137</v>
      </c>
      <c r="C46" s="288" t="s">
        <v>2143</v>
      </c>
      <c r="D46" s="288" t="s">
        <v>2144</v>
      </c>
    </row>
    <row r="47" spans="1:4" ht="15.6" x14ac:dyDescent="0.3">
      <c r="A47" s="288">
        <f t="shared" si="0"/>
        <v>46</v>
      </c>
      <c r="B47" s="286" t="s">
        <v>2102</v>
      </c>
      <c r="C47" s="288" t="s">
        <v>2143</v>
      </c>
      <c r="D47" s="288" t="s">
        <v>2144</v>
      </c>
    </row>
    <row r="48" spans="1:4" ht="15.6" x14ac:dyDescent="0.3">
      <c r="A48" s="288">
        <f t="shared" si="0"/>
        <v>47</v>
      </c>
      <c r="B48" s="286" t="s">
        <v>2103</v>
      </c>
      <c r="C48" s="288" t="s">
        <v>2143</v>
      </c>
      <c r="D48" s="288" t="s">
        <v>2144</v>
      </c>
    </row>
    <row r="49" spans="1:4" ht="15.6" x14ac:dyDescent="0.3">
      <c r="A49" s="288">
        <f t="shared" si="0"/>
        <v>48</v>
      </c>
      <c r="B49" s="286" t="s">
        <v>2104</v>
      </c>
      <c r="C49" s="288" t="s">
        <v>2143</v>
      </c>
      <c r="D49" s="288" t="s">
        <v>2144</v>
      </c>
    </row>
    <row r="50" spans="1:4" ht="15.6" x14ac:dyDescent="0.3">
      <c r="A50" s="288">
        <f t="shared" si="0"/>
        <v>49</v>
      </c>
      <c r="B50" s="286" t="s">
        <v>2105</v>
      </c>
      <c r="C50" s="288" t="s">
        <v>2143</v>
      </c>
      <c r="D50" s="288" t="s">
        <v>2144</v>
      </c>
    </row>
    <row r="51" spans="1:4" ht="15.6" x14ac:dyDescent="0.3">
      <c r="A51" s="288">
        <f t="shared" si="0"/>
        <v>50</v>
      </c>
      <c r="B51" s="290" t="s">
        <v>2062</v>
      </c>
      <c r="C51" s="288" t="s">
        <v>2143</v>
      </c>
      <c r="D51" s="288" t="s">
        <v>2144</v>
      </c>
    </row>
    <row r="52" spans="1:4" ht="15.6" x14ac:dyDescent="0.3">
      <c r="A52" s="288">
        <f t="shared" si="0"/>
        <v>51</v>
      </c>
      <c r="B52" s="290" t="s">
        <v>1627</v>
      </c>
      <c r="C52" s="288" t="s">
        <v>2143</v>
      </c>
      <c r="D52" s="288" t="s">
        <v>2112</v>
      </c>
    </row>
    <row r="53" spans="1:4" ht="15.6" x14ac:dyDescent="0.3">
      <c r="A53" s="288">
        <f t="shared" si="0"/>
        <v>52</v>
      </c>
      <c r="B53" s="290" t="s">
        <v>1635</v>
      </c>
      <c r="C53" s="288" t="s">
        <v>2143</v>
      </c>
      <c r="D53" s="288" t="s">
        <v>2112</v>
      </c>
    </row>
    <row r="54" spans="1:4" ht="15.6" x14ac:dyDescent="0.3">
      <c r="A54" s="288">
        <f t="shared" si="0"/>
        <v>53</v>
      </c>
      <c r="B54" s="290" t="s">
        <v>2006</v>
      </c>
      <c r="C54" s="288" t="s">
        <v>2143</v>
      </c>
      <c r="D54" s="288" t="s">
        <v>2112</v>
      </c>
    </row>
    <row r="55" spans="1:4" ht="15.6" x14ac:dyDescent="0.3">
      <c r="A55" s="288">
        <f t="shared" si="0"/>
        <v>54</v>
      </c>
      <c r="B55" s="290" t="s">
        <v>2010</v>
      </c>
      <c r="C55" s="288" t="s">
        <v>2143</v>
      </c>
      <c r="D55" s="288" t="s">
        <v>2112</v>
      </c>
    </row>
    <row r="56" spans="1:4" ht="15.6" x14ac:dyDescent="0.3">
      <c r="A56" s="288">
        <f t="shared" si="0"/>
        <v>55</v>
      </c>
      <c r="B56" s="290" t="s">
        <v>2011</v>
      </c>
      <c r="C56" s="288" t="s">
        <v>2143</v>
      </c>
      <c r="D56" s="288" t="s">
        <v>2112</v>
      </c>
    </row>
    <row r="57" spans="1:4" ht="15.6" x14ac:dyDescent="0.3">
      <c r="A57" s="288">
        <f t="shared" si="0"/>
        <v>56</v>
      </c>
      <c r="B57" s="290" t="s">
        <v>2012</v>
      </c>
      <c r="C57" s="288" t="s">
        <v>2143</v>
      </c>
      <c r="D57" s="288" t="s">
        <v>2112</v>
      </c>
    </row>
    <row r="58" spans="1:4" ht="15.6" x14ac:dyDescent="0.3">
      <c r="A58" s="288">
        <f>A90+1</f>
        <v>88</v>
      </c>
      <c r="B58" s="292" t="s">
        <v>2151</v>
      </c>
      <c r="C58" s="288" t="s">
        <v>2143</v>
      </c>
      <c r="D58" s="288" t="s">
        <v>2112</v>
      </c>
    </row>
    <row r="59" spans="1:4" ht="15.6" x14ac:dyDescent="0.3">
      <c r="A59" s="289">
        <f>A58+1</f>
        <v>89</v>
      </c>
      <c r="B59" s="293" t="s">
        <v>2132</v>
      </c>
      <c r="C59" s="288" t="s">
        <v>2143</v>
      </c>
      <c r="D59" s="280" t="s">
        <v>2172</v>
      </c>
    </row>
    <row r="60" spans="1:4" ht="15.6" x14ac:dyDescent="0.3">
      <c r="A60" s="289">
        <f>A57+1</f>
        <v>57</v>
      </c>
      <c r="B60" s="292" t="s">
        <v>2134</v>
      </c>
      <c r="C60" s="288" t="s">
        <v>2143</v>
      </c>
      <c r="D60" s="280" t="s">
        <v>2172</v>
      </c>
    </row>
    <row r="61" spans="1:4" ht="15.6" x14ac:dyDescent="0.3">
      <c r="A61" s="288">
        <f t="shared" si="0"/>
        <v>58</v>
      </c>
      <c r="B61" s="294" t="s">
        <v>1658</v>
      </c>
      <c r="C61" s="288" t="s">
        <v>2146</v>
      </c>
      <c r="D61" s="288" t="s">
        <v>2144</v>
      </c>
    </row>
    <row r="62" spans="1:4" ht="15.6" x14ac:dyDescent="0.3">
      <c r="A62" s="288">
        <f t="shared" si="0"/>
        <v>59</v>
      </c>
      <c r="B62" s="294" t="s">
        <v>1688</v>
      </c>
      <c r="C62" s="288" t="s">
        <v>2146</v>
      </c>
      <c r="D62" s="288" t="s">
        <v>2144</v>
      </c>
    </row>
    <row r="63" spans="1:4" ht="15.6" x14ac:dyDescent="0.3">
      <c r="A63" s="288">
        <f t="shared" si="0"/>
        <v>60</v>
      </c>
      <c r="B63" s="294" t="s">
        <v>1704</v>
      </c>
      <c r="C63" s="288" t="s">
        <v>2146</v>
      </c>
      <c r="D63" s="288" t="s">
        <v>2144</v>
      </c>
    </row>
    <row r="64" spans="1:4" ht="15.6" x14ac:dyDescent="0.3">
      <c r="A64" s="288">
        <f t="shared" si="0"/>
        <v>61</v>
      </c>
      <c r="B64" s="294" t="s">
        <v>1734</v>
      </c>
      <c r="C64" s="288" t="s">
        <v>2146</v>
      </c>
      <c r="D64" s="288" t="s">
        <v>2144</v>
      </c>
    </row>
    <row r="65" spans="1:4" ht="15.6" x14ac:dyDescent="0.3">
      <c r="A65" s="288">
        <f t="shared" si="0"/>
        <v>62</v>
      </c>
      <c r="B65" s="294" t="s">
        <v>1760</v>
      </c>
      <c r="C65" s="288" t="s">
        <v>2146</v>
      </c>
      <c r="D65" s="288" t="s">
        <v>2144</v>
      </c>
    </row>
    <row r="66" spans="1:4" ht="15.6" x14ac:dyDescent="0.3">
      <c r="A66" s="288">
        <f t="shared" si="0"/>
        <v>63</v>
      </c>
      <c r="B66" s="295" t="s">
        <v>1770</v>
      </c>
      <c r="C66" s="288" t="s">
        <v>2146</v>
      </c>
      <c r="D66" s="288" t="s">
        <v>2144</v>
      </c>
    </row>
    <row r="67" spans="1:4" ht="15.6" x14ac:dyDescent="0.3">
      <c r="A67" s="288">
        <f t="shared" si="0"/>
        <v>64</v>
      </c>
      <c r="B67" s="285" t="s">
        <v>1791</v>
      </c>
      <c r="C67" s="288" t="s">
        <v>2146</v>
      </c>
      <c r="D67" s="288" t="s">
        <v>2144</v>
      </c>
    </row>
    <row r="68" spans="1:4" ht="15.6" x14ac:dyDescent="0.3">
      <c r="A68" s="288">
        <f t="shared" si="0"/>
        <v>65</v>
      </c>
      <c r="B68" s="286" t="s">
        <v>2129</v>
      </c>
      <c r="C68" s="288" t="s">
        <v>2145</v>
      </c>
      <c r="D68" s="288" t="s">
        <v>2144</v>
      </c>
    </row>
    <row r="69" spans="1:4" ht="15.6" x14ac:dyDescent="0.3">
      <c r="A69" s="288">
        <f t="shared" si="0"/>
        <v>66</v>
      </c>
      <c r="B69" s="296" t="s">
        <v>1924</v>
      </c>
      <c r="C69" s="288" t="s">
        <v>2146</v>
      </c>
      <c r="D69" s="288" t="s">
        <v>2144</v>
      </c>
    </row>
    <row r="70" spans="1:4" ht="15.6" x14ac:dyDescent="0.3">
      <c r="A70" s="288">
        <f t="shared" ref="A70:A90" si="1">A69+1</f>
        <v>67</v>
      </c>
      <c r="B70" s="296" t="s">
        <v>1816</v>
      </c>
      <c r="C70" s="288" t="s">
        <v>2146</v>
      </c>
      <c r="D70" s="288" t="s">
        <v>2144</v>
      </c>
    </row>
    <row r="71" spans="1:4" ht="15.6" x14ac:dyDescent="0.3">
      <c r="A71" s="288">
        <f t="shared" si="1"/>
        <v>68</v>
      </c>
      <c r="B71" s="296" t="s">
        <v>1826</v>
      </c>
      <c r="C71" s="288" t="s">
        <v>2146</v>
      </c>
      <c r="D71" s="288" t="s">
        <v>2144</v>
      </c>
    </row>
    <row r="72" spans="1:4" ht="15.6" x14ac:dyDescent="0.3">
      <c r="A72" s="288">
        <f t="shared" si="1"/>
        <v>69</v>
      </c>
      <c r="B72" s="296" t="s">
        <v>1852</v>
      </c>
      <c r="C72" s="288" t="s">
        <v>2146</v>
      </c>
      <c r="D72" s="288" t="s">
        <v>2144</v>
      </c>
    </row>
    <row r="73" spans="1:4" ht="15.6" x14ac:dyDescent="0.3">
      <c r="A73" s="288">
        <f t="shared" si="1"/>
        <v>70</v>
      </c>
      <c r="B73" s="296" t="s">
        <v>1859</v>
      </c>
      <c r="C73" s="288" t="s">
        <v>2146</v>
      </c>
      <c r="D73" s="288" t="s">
        <v>2144</v>
      </c>
    </row>
    <row r="74" spans="1:4" ht="15.6" x14ac:dyDescent="0.3">
      <c r="A74" s="288">
        <f t="shared" si="1"/>
        <v>71</v>
      </c>
      <c r="B74" s="296" t="s">
        <v>1843</v>
      </c>
      <c r="C74" s="288" t="s">
        <v>2146</v>
      </c>
      <c r="D74" s="288" t="s">
        <v>2144</v>
      </c>
    </row>
    <row r="75" spans="1:4" ht="15.6" x14ac:dyDescent="0.3">
      <c r="A75" s="288">
        <f t="shared" si="1"/>
        <v>72</v>
      </c>
      <c r="B75" s="296" t="s">
        <v>1867</v>
      </c>
      <c r="C75" s="288" t="s">
        <v>2146</v>
      </c>
      <c r="D75" s="288" t="s">
        <v>2144</v>
      </c>
    </row>
    <row r="76" spans="1:4" ht="15.6" x14ac:dyDescent="0.3">
      <c r="A76" s="288">
        <f t="shared" si="1"/>
        <v>73</v>
      </c>
      <c r="B76" s="296" t="s">
        <v>1876</v>
      </c>
      <c r="C76" s="288" t="s">
        <v>2146</v>
      </c>
      <c r="D76" s="288" t="s">
        <v>2144</v>
      </c>
    </row>
    <row r="77" spans="1:4" ht="15.6" x14ac:dyDescent="0.3">
      <c r="A77" s="288">
        <f t="shared" si="1"/>
        <v>74</v>
      </c>
      <c r="B77" s="296" t="s">
        <v>2158</v>
      </c>
      <c r="C77" s="288" t="s">
        <v>2146</v>
      </c>
      <c r="D77" s="288" t="s">
        <v>2144</v>
      </c>
    </row>
    <row r="78" spans="1:4" ht="15.6" x14ac:dyDescent="0.3">
      <c r="A78" s="288">
        <f t="shared" si="1"/>
        <v>75</v>
      </c>
      <c r="B78" s="297" t="s">
        <v>1891</v>
      </c>
      <c r="C78" s="288" t="s">
        <v>2146</v>
      </c>
      <c r="D78" s="288" t="s">
        <v>2144</v>
      </c>
    </row>
    <row r="79" spans="1:4" ht="15.6" x14ac:dyDescent="0.3">
      <c r="A79" s="288">
        <f t="shared" si="1"/>
        <v>76</v>
      </c>
      <c r="B79" s="296" t="s">
        <v>1896</v>
      </c>
      <c r="C79" s="288" t="s">
        <v>2146</v>
      </c>
      <c r="D79" s="288" t="s">
        <v>2144</v>
      </c>
    </row>
    <row r="80" spans="1:4" ht="15.6" x14ac:dyDescent="0.3">
      <c r="A80" s="288">
        <f t="shared" si="1"/>
        <v>77</v>
      </c>
      <c r="B80" s="296" t="s">
        <v>1904</v>
      </c>
      <c r="C80" s="288" t="s">
        <v>2146</v>
      </c>
      <c r="D80" s="288" t="s">
        <v>2144</v>
      </c>
    </row>
    <row r="81" spans="1:4" ht="15.6" x14ac:dyDescent="0.3">
      <c r="A81" s="288">
        <f t="shared" si="1"/>
        <v>78</v>
      </c>
      <c r="B81" s="296" t="s">
        <v>1911</v>
      </c>
      <c r="C81" s="288" t="s">
        <v>2146</v>
      </c>
      <c r="D81" s="288" t="s">
        <v>2144</v>
      </c>
    </row>
    <row r="82" spans="1:4" ht="15.6" x14ac:dyDescent="0.3">
      <c r="A82" s="288">
        <f t="shared" si="1"/>
        <v>79</v>
      </c>
      <c r="B82" s="296" t="s">
        <v>1918</v>
      </c>
      <c r="C82" s="288" t="s">
        <v>2146</v>
      </c>
      <c r="D82" s="288" t="s">
        <v>2144</v>
      </c>
    </row>
    <row r="83" spans="1:4" ht="15.6" x14ac:dyDescent="0.3">
      <c r="A83" s="288">
        <f t="shared" si="1"/>
        <v>80</v>
      </c>
      <c r="B83" s="296" t="s">
        <v>1931</v>
      </c>
      <c r="C83" s="288" t="s">
        <v>2146</v>
      </c>
      <c r="D83" s="288" t="s">
        <v>2144</v>
      </c>
    </row>
    <row r="84" spans="1:4" ht="15.6" x14ac:dyDescent="0.3">
      <c r="A84" s="288">
        <f t="shared" si="1"/>
        <v>81</v>
      </c>
      <c r="B84" s="298" t="s">
        <v>2150</v>
      </c>
      <c r="C84" s="288" t="s">
        <v>2146</v>
      </c>
      <c r="D84" s="288" t="s">
        <v>2144</v>
      </c>
    </row>
    <row r="85" spans="1:4" ht="15.6" x14ac:dyDescent="0.3">
      <c r="A85" s="288">
        <f t="shared" si="1"/>
        <v>82</v>
      </c>
      <c r="B85" s="299" t="s">
        <v>1957</v>
      </c>
      <c r="C85" s="288" t="s">
        <v>2146</v>
      </c>
      <c r="D85" s="288" t="s">
        <v>2144</v>
      </c>
    </row>
    <row r="86" spans="1:4" ht="15.6" x14ac:dyDescent="0.3">
      <c r="A86" s="288">
        <f t="shared" si="1"/>
        <v>83</v>
      </c>
      <c r="B86" s="285" t="s">
        <v>2156</v>
      </c>
      <c r="C86" s="288" t="s">
        <v>2147</v>
      </c>
      <c r="D86" s="288" t="s">
        <v>2148</v>
      </c>
    </row>
    <row r="87" spans="1:4" ht="15.6" x14ac:dyDescent="0.3">
      <c r="A87" s="288">
        <f t="shared" si="1"/>
        <v>84</v>
      </c>
      <c r="B87" s="285" t="s">
        <v>2153</v>
      </c>
      <c r="C87" s="288" t="s">
        <v>2147</v>
      </c>
      <c r="D87" s="288" t="s">
        <v>2148</v>
      </c>
    </row>
    <row r="88" spans="1:4" ht="15.6" x14ac:dyDescent="0.3">
      <c r="A88" s="288">
        <f t="shared" si="1"/>
        <v>85</v>
      </c>
      <c r="B88" s="285" t="s">
        <v>2159</v>
      </c>
      <c r="C88" s="288" t="s">
        <v>2147</v>
      </c>
      <c r="D88" s="288" t="s">
        <v>2148</v>
      </c>
    </row>
    <row r="89" spans="1:4" ht="15.6" x14ac:dyDescent="0.3">
      <c r="A89" s="288">
        <f t="shared" si="1"/>
        <v>86</v>
      </c>
      <c r="B89" s="285" t="s">
        <v>2161</v>
      </c>
      <c r="C89" s="288" t="s">
        <v>2147</v>
      </c>
      <c r="D89" s="288" t="s">
        <v>2148</v>
      </c>
    </row>
    <row r="90" spans="1:4" ht="15.6" x14ac:dyDescent="0.3">
      <c r="A90" s="288">
        <f t="shared" si="1"/>
        <v>87</v>
      </c>
      <c r="B90" s="285" t="s">
        <v>2157</v>
      </c>
      <c r="C90" s="288" t="s">
        <v>2147</v>
      </c>
      <c r="D90" s="288" t="s">
        <v>2148</v>
      </c>
    </row>
    <row r="91" spans="1:4" ht="15.6" x14ac:dyDescent="0.3">
      <c r="A91" s="288">
        <f>A59+1</f>
        <v>90</v>
      </c>
      <c r="B91" s="287" t="s">
        <v>2131</v>
      </c>
      <c r="C91" s="288" t="s">
        <v>2147</v>
      </c>
      <c r="D91" s="288" t="s">
        <v>2171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opLeftCell="A16" zoomScale="120" zoomScaleNormal="120" workbookViewId="0">
      <selection activeCell="M7" sqref="M7"/>
    </sheetView>
  </sheetViews>
  <sheetFormatPr defaultRowHeight="13.2" x14ac:dyDescent="0.25"/>
  <cols>
    <col min="1" max="1" width="31.109375" customWidth="1"/>
    <col min="2" max="2" width="9" customWidth="1"/>
    <col min="3" max="3" width="8.109375" customWidth="1"/>
    <col min="4" max="4" width="14.6640625" style="141" customWidth="1"/>
  </cols>
  <sheetData>
    <row r="1" spans="1:19" ht="24.6" x14ac:dyDescent="0.25">
      <c r="A1" s="310" t="s">
        <v>2013</v>
      </c>
      <c r="B1" s="310"/>
      <c r="C1" s="310"/>
      <c r="D1" s="310"/>
      <c r="E1" s="310"/>
      <c r="F1" s="310"/>
      <c r="G1" s="310"/>
      <c r="H1" s="310"/>
      <c r="I1" s="310"/>
      <c r="J1" s="229"/>
      <c r="K1" s="229"/>
      <c r="L1" s="229"/>
      <c r="M1" s="229"/>
      <c r="N1" s="229"/>
      <c r="O1" s="229"/>
      <c r="P1" s="229"/>
      <c r="Q1" s="229"/>
      <c r="R1" s="229"/>
      <c r="S1" s="229"/>
    </row>
    <row r="2" spans="1:19" ht="18" customHeight="1" thickBot="1" x14ac:dyDescent="0.3">
      <c r="A2" s="311" t="s">
        <v>2125</v>
      </c>
      <c r="B2" s="311"/>
      <c r="C2" s="311"/>
      <c r="D2" s="311"/>
      <c r="E2" s="311"/>
      <c r="F2" s="311"/>
      <c r="G2" s="311"/>
      <c r="H2" s="311"/>
      <c r="I2" s="311"/>
      <c r="J2" s="229"/>
      <c r="K2" s="229"/>
      <c r="L2" s="229"/>
      <c r="M2" s="229"/>
      <c r="N2" s="229"/>
      <c r="O2" s="229"/>
      <c r="P2" s="229"/>
      <c r="Q2" s="229"/>
      <c r="R2" s="229"/>
      <c r="S2" s="229"/>
    </row>
    <row r="3" spans="1:19" ht="24.9" customHeight="1" thickBot="1" x14ac:dyDescent="0.3">
      <c r="A3" s="317" t="s">
        <v>2118</v>
      </c>
      <c r="B3" s="312" t="s">
        <v>2114</v>
      </c>
      <c r="C3" s="312"/>
      <c r="D3" s="312"/>
      <c r="E3" s="312" t="s">
        <v>2120</v>
      </c>
      <c r="F3" s="312"/>
      <c r="G3" s="312"/>
      <c r="H3" s="312"/>
      <c r="I3" s="313"/>
    </row>
    <row r="4" spans="1:19" ht="24.9" customHeight="1" thickBot="1" x14ac:dyDescent="0.3">
      <c r="A4" s="317"/>
      <c r="B4" s="312" t="s">
        <v>2113</v>
      </c>
      <c r="C4" s="312"/>
      <c r="D4" s="316" t="s">
        <v>2114</v>
      </c>
      <c r="E4" s="312"/>
      <c r="F4" s="312"/>
      <c r="G4" s="312"/>
      <c r="H4" s="312"/>
      <c r="I4" s="313"/>
    </row>
    <row r="5" spans="1:19" ht="24.9" customHeight="1" thickBot="1" x14ac:dyDescent="0.3">
      <c r="A5" s="317"/>
      <c r="B5" s="204" t="s">
        <v>2115</v>
      </c>
      <c r="C5" s="204" t="s">
        <v>2116</v>
      </c>
      <c r="D5" s="316"/>
      <c r="E5" s="204" t="s">
        <v>85</v>
      </c>
      <c r="F5" s="204" t="s">
        <v>257</v>
      </c>
      <c r="G5" s="204" t="s">
        <v>1675</v>
      </c>
      <c r="H5" s="204" t="s">
        <v>1751</v>
      </c>
      <c r="I5" s="205" t="s">
        <v>1819</v>
      </c>
    </row>
    <row r="6" spans="1:19" ht="24.9" customHeight="1" thickBot="1" x14ac:dyDescent="0.3">
      <c r="A6" s="202" t="s">
        <v>82</v>
      </c>
      <c r="B6" s="212">
        <v>18</v>
      </c>
      <c r="C6" s="212">
        <v>24</v>
      </c>
      <c r="D6" s="213">
        <v>42</v>
      </c>
      <c r="E6" s="210">
        <v>16</v>
      </c>
      <c r="F6" s="210">
        <v>27</v>
      </c>
      <c r="G6" s="210"/>
      <c r="H6" s="210" t="s">
        <v>124</v>
      </c>
      <c r="I6" s="211" t="s">
        <v>124</v>
      </c>
      <c r="K6" s="238"/>
    </row>
    <row r="7" spans="1:19" ht="24.9" customHeight="1" thickBot="1" x14ac:dyDescent="0.3">
      <c r="A7" s="202" t="s">
        <v>1992</v>
      </c>
      <c r="B7" s="212" t="s">
        <v>2123</v>
      </c>
      <c r="C7" s="212">
        <v>14</v>
      </c>
      <c r="D7" s="212">
        <v>23</v>
      </c>
      <c r="E7" s="210">
        <v>2</v>
      </c>
      <c r="F7" s="210">
        <v>21</v>
      </c>
      <c r="G7" s="210"/>
      <c r="H7" s="210" t="s">
        <v>124</v>
      </c>
      <c r="I7" s="211" t="s">
        <v>124</v>
      </c>
    </row>
    <row r="8" spans="1:19" ht="24.9" customHeight="1" thickBot="1" x14ac:dyDescent="0.3">
      <c r="A8" s="202" t="s">
        <v>2112</v>
      </c>
      <c r="B8" s="212">
        <v>1</v>
      </c>
      <c r="C8" s="212">
        <v>7</v>
      </c>
      <c r="D8" s="212">
        <f>SUM(B8:C8)</f>
        <v>8</v>
      </c>
      <c r="E8" s="210" t="s">
        <v>124</v>
      </c>
      <c r="F8" s="210">
        <v>8</v>
      </c>
      <c r="G8" s="210"/>
      <c r="H8" s="210" t="s">
        <v>124</v>
      </c>
      <c r="I8" s="211" t="s">
        <v>124</v>
      </c>
      <c r="K8" s="238"/>
    </row>
    <row r="9" spans="1:19" ht="24.9" customHeight="1" thickBot="1" x14ac:dyDescent="0.3">
      <c r="A9" s="217" t="s">
        <v>2122</v>
      </c>
      <c r="B9" s="318" t="s">
        <v>1975</v>
      </c>
      <c r="C9" s="318"/>
      <c r="D9" s="216">
        <f>SUM(D6:D8)</f>
        <v>73</v>
      </c>
      <c r="E9" s="216"/>
      <c r="F9" s="216"/>
      <c r="G9" s="216"/>
      <c r="H9" s="216"/>
      <c r="I9" s="218"/>
    </row>
    <row r="10" spans="1:19" ht="24.9" customHeight="1" thickBot="1" x14ac:dyDescent="0.3">
      <c r="A10" s="202" t="s">
        <v>82</v>
      </c>
      <c r="B10" s="211">
        <v>6</v>
      </c>
      <c r="C10" s="214">
        <v>3</v>
      </c>
      <c r="D10" s="215">
        <v>9</v>
      </c>
      <c r="E10" s="214" t="s">
        <v>124</v>
      </c>
      <c r="F10" s="214">
        <v>4</v>
      </c>
      <c r="G10" s="214">
        <v>1</v>
      </c>
      <c r="H10" s="214" t="s">
        <v>124</v>
      </c>
      <c r="I10" s="214" t="s">
        <v>124</v>
      </c>
    </row>
    <row r="11" spans="1:19" ht="24.9" customHeight="1" thickBot="1" x14ac:dyDescent="0.3">
      <c r="A11" s="202" t="s">
        <v>2072</v>
      </c>
      <c r="B11" s="211">
        <v>13</v>
      </c>
      <c r="C11" s="215">
        <v>4</v>
      </c>
      <c r="D11" s="215">
        <v>17</v>
      </c>
      <c r="E11" s="214" t="s">
        <v>124</v>
      </c>
      <c r="F11" s="214" t="s">
        <v>124</v>
      </c>
      <c r="G11" s="214"/>
      <c r="H11" s="214">
        <v>11</v>
      </c>
      <c r="I11" s="214">
        <v>4</v>
      </c>
    </row>
    <row r="12" spans="1:19" ht="24.9" customHeight="1" thickBot="1" x14ac:dyDescent="0.3">
      <c r="A12" s="203" t="s">
        <v>2119</v>
      </c>
      <c r="B12" s="219">
        <v>2</v>
      </c>
      <c r="C12" s="220" t="s">
        <v>124</v>
      </c>
      <c r="D12" s="220">
        <v>2</v>
      </c>
      <c r="E12" s="221" t="s">
        <v>124</v>
      </c>
      <c r="F12" s="221" t="s">
        <v>124</v>
      </c>
      <c r="G12" s="221"/>
      <c r="H12" s="221" t="s">
        <v>124</v>
      </c>
      <c r="I12" s="221" t="s">
        <v>124</v>
      </c>
    </row>
    <row r="13" spans="1:19" ht="24.9" customHeight="1" x14ac:dyDescent="0.25">
      <c r="A13" s="314"/>
      <c r="B13" s="319" t="s">
        <v>1975</v>
      </c>
      <c r="C13" s="320"/>
      <c r="D13" s="220">
        <f>SUM(D10:D12)</f>
        <v>28</v>
      </c>
      <c r="E13" s="223"/>
      <c r="F13" s="226"/>
      <c r="G13" s="226"/>
      <c r="H13" s="226"/>
      <c r="I13" s="227"/>
    </row>
    <row r="14" spans="1:19" ht="24.9" customHeight="1" thickBot="1" x14ac:dyDescent="0.3">
      <c r="A14" s="315"/>
      <c r="B14" s="321"/>
      <c r="C14" s="322"/>
      <c r="D14" s="225">
        <f>SUM(D9,D13)</f>
        <v>101</v>
      </c>
      <c r="E14" s="222"/>
      <c r="F14" s="224"/>
      <c r="G14" s="224"/>
      <c r="H14" s="224"/>
      <c r="I14" s="228"/>
    </row>
    <row r="15" spans="1:19" ht="24.9" customHeight="1" x14ac:dyDescent="0.25">
      <c r="A15" s="196"/>
      <c r="B15" s="196"/>
      <c r="C15" s="196"/>
      <c r="D15" s="206"/>
      <c r="E15" s="196"/>
      <c r="F15" s="196"/>
      <c r="G15" s="196"/>
      <c r="H15" s="196"/>
      <c r="I15" s="196"/>
    </row>
    <row r="16" spans="1:19" ht="15.6" x14ac:dyDescent="0.25">
      <c r="A16" s="197"/>
      <c r="B16" s="197"/>
      <c r="C16" s="197"/>
      <c r="D16" s="207"/>
      <c r="E16" s="198" t="s">
        <v>2124</v>
      </c>
      <c r="F16" s="198"/>
      <c r="G16" s="198"/>
      <c r="H16" s="197"/>
      <c r="I16" s="197"/>
    </row>
    <row r="17" spans="1:9" ht="15.6" x14ac:dyDescent="0.25">
      <c r="A17" s="199"/>
      <c r="B17" s="198"/>
      <c r="C17" s="198"/>
      <c r="D17" s="208"/>
      <c r="E17" s="198" t="s">
        <v>2117</v>
      </c>
      <c r="F17" s="198"/>
      <c r="G17" s="198"/>
      <c r="H17" s="198"/>
      <c r="I17" s="198"/>
    </row>
    <row r="18" spans="1:9" ht="15.6" x14ac:dyDescent="0.25">
      <c r="A18" s="199"/>
      <c r="B18" s="198"/>
      <c r="C18" s="198"/>
      <c r="D18" s="208"/>
      <c r="E18" s="198"/>
      <c r="F18" s="198"/>
      <c r="G18" s="198"/>
      <c r="H18" s="198"/>
      <c r="I18" s="198"/>
    </row>
    <row r="19" spans="1:9" ht="15.6" x14ac:dyDescent="0.25">
      <c r="A19" s="199"/>
      <c r="B19" s="198"/>
      <c r="C19" s="198"/>
      <c r="D19" s="208"/>
      <c r="E19" s="198"/>
      <c r="F19" s="198"/>
      <c r="G19" s="198"/>
      <c r="H19" s="198"/>
      <c r="I19" s="198"/>
    </row>
    <row r="20" spans="1:9" ht="15.6" x14ac:dyDescent="0.25">
      <c r="A20" s="199"/>
      <c r="B20" s="198"/>
      <c r="C20" s="198"/>
      <c r="D20" s="208"/>
      <c r="E20" s="198"/>
      <c r="F20" s="198"/>
      <c r="G20" s="198"/>
      <c r="H20" s="198"/>
      <c r="I20" s="198"/>
    </row>
    <row r="21" spans="1:9" ht="15.6" x14ac:dyDescent="0.25">
      <c r="A21" s="199"/>
      <c r="B21" s="198"/>
      <c r="C21" s="198"/>
      <c r="D21" s="208"/>
      <c r="E21" s="155" t="s">
        <v>2068</v>
      </c>
      <c r="F21" s="198"/>
      <c r="G21" s="198"/>
      <c r="H21" s="198"/>
      <c r="I21" s="198"/>
    </row>
    <row r="22" spans="1:9" ht="15.6" x14ac:dyDescent="0.25">
      <c r="A22" s="199"/>
      <c r="B22" s="198"/>
      <c r="C22" s="198"/>
      <c r="D22" s="208"/>
      <c r="E22" s="198" t="s">
        <v>2121</v>
      </c>
      <c r="F22" s="198"/>
      <c r="G22" s="198"/>
      <c r="H22" s="198"/>
      <c r="I22" s="198"/>
    </row>
    <row r="23" spans="1:9" x14ac:dyDescent="0.25">
      <c r="A23" s="200"/>
      <c r="B23" s="200"/>
      <c r="C23" s="201"/>
      <c r="D23" s="209"/>
      <c r="E23" s="201"/>
      <c r="F23" s="201"/>
      <c r="G23" s="201"/>
      <c r="H23" s="201"/>
      <c r="I23" s="201"/>
    </row>
    <row r="24" spans="1:9" x14ac:dyDescent="0.25">
      <c r="A24" s="200"/>
      <c r="B24" s="200"/>
      <c r="C24" s="201"/>
      <c r="D24" s="209"/>
      <c r="E24" s="201"/>
      <c r="F24" s="201"/>
      <c r="G24" s="201"/>
      <c r="H24" s="201"/>
      <c r="I24" s="201"/>
    </row>
  </sheetData>
  <mergeCells count="10">
    <mergeCell ref="A1:I1"/>
    <mergeCell ref="A2:I2"/>
    <mergeCell ref="E3:I4"/>
    <mergeCell ref="A13:A14"/>
    <mergeCell ref="B4:C4"/>
    <mergeCell ref="D4:D5"/>
    <mergeCell ref="A3:A5"/>
    <mergeCell ref="B3:D3"/>
    <mergeCell ref="B9:C9"/>
    <mergeCell ref="B13:C14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E34" sqref="E34"/>
    </sheetView>
  </sheetViews>
  <sheetFormatPr defaultRowHeight="13.2" x14ac:dyDescent="0.25"/>
  <cols>
    <col min="1" max="1" width="35.44140625" customWidth="1"/>
    <col min="2" max="2" width="29.44140625" customWidth="1"/>
  </cols>
  <sheetData>
    <row r="1" spans="1:2" ht="27.75" customHeight="1" x14ac:dyDescent="0.25">
      <c r="A1" s="142" t="s">
        <v>1977</v>
      </c>
      <c r="B1" s="142" t="s">
        <v>18</v>
      </c>
    </row>
    <row r="2" spans="1:2" ht="15" x14ac:dyDescent="0.25">
      <c r="A2" s="171" t="s">
        <v>1514</v>
      </c>
      <c r="B2" s="156" t="s">
        <v>2070</v>
      </c>
    </row>
    <row r="3" spans="1:2" ht="15" x14ac:dyDescent="0.25">
      <c r="A3" s="154" t="s">
        <v>1553</v>
      </c>
      <c r="B3" s="156" t="s">
        <v>1557</v>
      </c>
    </row>
    <row r="4" spans="1:2" ht="15" x14ac:dyDescent="0.25">
      <c r="A4" s="154" t="s">
        <v>2062</v>
      </c>
      <c r="B4" s="156" t="s">
        <v>1587</v>
      </c>
    </row>
    <row r="5" spans="1:2" ht="15" x14ac:dyDescent="0.25">
      <c r="A5" s="154" t="s">
        <v>2063</v>
      </c>
      <c r="B5" s="156" t="s">
        <v>1595</v>
      </c>
    </row>
    <row r="6" spans="1:2" ht="15" x14ac:dyDescent="0.25">
      <c r="A6" s="154" t="s">
        <v>1610</v>
      </c>
      <c r="B6" s="156" t="s">
        <v>1613</v>
      </c>
    </row>
    <row r="7" spans="1:2" ht="15" x14ac:dyDescent="0.25">
      <c r="A7" s="154" t="s">
        <v>1620</v>
      </c>
      <c r="B7" s="156" t="s">
        <v>1622</v>
      </c>
    </row>
    <row r="8" spans="1:2" ht="13.8" x14ac:dyDescent="0.25">
      <c r="A8" s="154" t="s">
        <v>1627</v>
      </c>
    </row>
    <row r="9" spans="1:2" ht="39.75" customHeight="1" x14ac:dyDescent="0.25">
      <c r="A9" s="173" t="s">
        <v>1977</v>
      </c>
      <c r="B9" s="142" t="s">
        <v>2071</v>
      </c>
    </row>
    <row r="10" spans="1:2" x14ac:dyDescent="0.25">
      <c r="A10" t="s">
        <v>1635</v>
      </c>
    </row>
    <row r="11" spans="1:2" x14ac:dyDescent="0.25">
      <c r="A11" t="s">
        <v>1646</v>
      </c>
    </row>
    <row r="12" spans="1:2" x14ac:dyDescent="0.25">
      <c r="A12" t="s">
        <v>2006</v>
      </c>
    </row>
    <row r="13" spans="1:2" x14ac:dyDescent="0.25">
      <c r="A13" t="s">
        <v>2007</v>
      </c>
    </row>
    <row r="14" spans="1:2" x14ac:dyDescent="0.25">
      <c r="A14" t="s">
        <v>2008</v>
      </c>
    </row>
    <row r="15" spans="1:2" x14ac:dyDescent="0.25">
      <c r="A15" t="s">
        <v>2009</v>
      </c>
    </row>
    <row r="16" spans="1:2" x14ac:dyDescent="0.25">
      <c r="A16" t="s">
        <v>2010</v>
      </c>
    </row>
    <row r="17" spans="1:2" x14ac:dyDescent="0.25">
      <c r="A17" t="s">
        <v>2011</v>
      </c>
    </row>
    <row r="18" spans="1:2" x14ac:dyDescent="0.25">
      <c r="A18" t="s">
        <v>2012</v>
      </c>
    </row>
    <row r="20" spans="1:2" ht="32.25" customHeight="1" x14ac:dyDescent="0.25">
      <c r="A20" s="142" t="s">
        <v>2072</v>
      </c>
      <c r="B20" s="157" t="s">
        <v>18</v>
      </c>
    </row>
    <row r="21" spans="1:2" ht="20.399999999999999" x14ac:dyDescent="0.35">
      <c r="A21" s="174" t="s">
        <v>1816</v>
      </c>
      <c r="B21" s="172" t="s">
        <v>1821</v>
      </c>
    </row>
    <row r="22" spans="1:2" ht="20.399999999999999" x14ac:dyDescent="0.35">
      <c r="A22" s="174" t="s">
        <v>1826</v>
      </c>
      <c r="B22" s="172" t="s">
        <v>1829</v>
      </c>
    </row>
    <row r="23" spans="1:2" ht="20.399999999999999" x14ac:dyDescent="0.35">
      <c r="A23" s="174" t="s">
        <v>1834</v>
      </c>
      <c r="B23" s="172" t="s">
        <v>1838</v>
      </c>
    </row>
    <row r="24" spans="1:2" ht="20.399999999999999" x14ac:dyDescent="0.35">
      <c r="A24" s="174" t="s">
        <v>1852</v>
      </c>
      <c r="B24" s="172" t="s">
        <v>1854</v>
      </c>
    </row>
    <row r="25" spans="1:2" ht="20.399999999999999" x14ac:dyDescent="0.35">
      <c r="A25" s="174" t="s">
        <v>1859</v>
      </c>
      <c r="B25" s="172" t="s">
        <v>1862</v>
      </c>
    </row>
    <row r="26" spans="1:2" ht="20.399999999999999" x14ac:dyDescent="0.35">
      <c r="A26" s="174" t="s">
        <v>1843</v>
      </c>
      <c r="B26" s="172" t="s">
        <v>1847</v>
      </c>
    </row>
    <row r="27" spans="1:2" ht="20.399999999999999" x14ac:dyDescent="0.35">
      <c r="A27" s="174" t="s">
        <v>1867</v>
      </c>
      <c r="B27" s="172" t="s">
        <v>1871</v>
      </c>
    </row>
    <row r="28" spans="1:2" ht="20.399999999999999" x14ac:dyDescent="0.35">
      <c r="A28" s="174" t="s">
        <v>1876</v>
      </c>
      <c r="B28" s="172" t="s">
        <v>1879</v>
      </c>
    </row>
    <row r="29" spans="1:2" ht="20.399999999999999" x14ac:dyDescent="0.35">
      <c r="A29" s="174" t="s">
        <v>1884</v>
      </c>
      <c r="B29" s="172" t="s">
        <v>2014</v>
      </c>
    </row>
    <row r="30" spans="1:2" ht="20.399999999999999" x14ac:dyDescent="0.35">
      <c r="A30" s="174" t="s">
        <v>1891</v>
      </c>
      <c r="B30" s="172" t="s">
        <v>2015</v>
      </c>
    </row>
    <row r="31" spans="1:2" ht="20.399999999999999" x14ac:dyDescent="0.35">
      <c r="A31" s="174" t="s">
        <v>1896</v>
      </c>
      <c r="B31" s="172" t="s">
        <v>1899</v>
      </c>
    </row>
    <row r="32" spans="1:2" ht="20.399999999999999" x14ac:dyDescent="0.35">
      <c r="A32" s="174" t="s">
        <v>1904</v>
      </c>
      <c r="B32" s="172" t="s">
        <v>2016</v>
      </c>
    </row>
    <row r="33" spans="1:2" ht="20.399999999999999" x14ac:dyDescent="0.35">
      <c r="A33" s="174" t="s">
        <v>1911</v>
      </c>
      <c r="B33" s="172" t="s">
        <v>2017</v>
      </c>
    </row>
    <row r="34" spans="1:2" ht="20.399999999999999" x14ac:dyDescent="0.35">
      <c r="A34" s="174" t="s">
        <v>1918</v>
      </c>
      <c r="B34" s="172" t="s">
        <v>2018</v>
      </c>
    </row>
    <row r="35" spans="1:2" ht="20.399999999999999" x14ac:dyDescent="0.35">
      <c r="A35" s="174" t="s">
        <v>1924</v>
      </c>
      <c r="B35" s="172" t="s">
        <v>2019</v>
      </c>
    </row>
    <row r="36" spans="1:2" ht="20.399999999999999" x14ac:dyDescent="0.35">
      <c r="A36" s="174" t="s">
        <v>1931</v>
      </c>
      <c r="B36" s="172" t="s">
        <v>2020</v>
      </c>
    </row>
    <row r="37" spans="1:2" ht="20.399999999999999" x14ac:dyDescent="0.35">
      <c r="A37" s="175" t="s">
        <v>1940</v>
      </c>
      <c r="B37" s="176" t="s">
        <v>2021</v>
      </c>
    </row>
    <row r="38" spans="1:2" ht="20.399999999999999" x14ac:dyDescent="0.35">
      <c r="A38" s="174" t="s">
        <v>1950</v>
      </c>
      <c r="B38" s="172" t="s">
        <v>2022</v>
      </c>
    </row>
    <row r="39" spans="1:2" ht="20.399999999999999" x14ac:dyDescent="0.35">
      <c r="A39" s="174" t="s">
        <v>1957</v>
      </c>
      <c r="B39" s="172" t="s">
        <v>2023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2"/>
  <sheetViews>
    <sheetView workbookViewId="0"/>
  </sheetViews>
  <sheetFormatPr defaultRowHeight="13.2" x14ac:dyDescent="0.25"/>
  <cols>
    <col min="1" max="1" width="4" customWidth="1"/>
    <col min="2" max="2" width="25.33203125" customWidth="1"/>
    <col min="3" max="3" width="8.33203125" customWidth="1"/>
    <col min="4" max="4" width="21.44140625" customWidth="1"/>
    <col min="5" max="5" width="6.109375" customWidth="1"/>
    <col min="6" max="6" width="11" style="169" customWidth="1"/>
    <col min="7" max="7" width="22" style="141" customWidth="1"/>
    <col min="8" max="8" width="13" style="169" customWidth="1"/>
    <col min="9" max="9" width="10.109375" customWidth="1"/>
    <col min="10" max="10" width="9.109375" customWidth="1"/>
  </cols>
  <sheetData>
    <row r="1" spans="1:11" s="3" customFormat="1" ht="22.8" x14ac:dyDescent="0.25">
      <c r="A1" s="323" t="s">
        <v>2024</v>
      </c>
      <c r="B1" s="323"/>
      <c r="C1" s="323"/>
      <c r="D1" s="323"/>
      <c r="E1" s="323"/>
      <c r="F1" s="323"/>
      <c r="G1" s="323"/>
      <c r="H1" s="323"/>
      <c r="I1" s="323"/>
    </row>
    <row r="2" spans="1:11" s="3" customFormat="1" ht="22.8" x14ac:dyDescent="0.25">
      <c r="A2" s="323" t="s">
        <v>2025</v>
      </c>
      <c r="B2" s="323"/>
      <c r="C2" s="323"/>
      <c r="D2" s="323"/>
      <c r="E2" s="323"/>
      <c r="F2" s="323"/>
      <c r="G2" s="323"/>
      <c r="H2" s="323"/>
      <c r="I2" s="323"/>
    </row>
    <row r="3" spans="1:11" s="3" customFormat="1" ht="22.8" x14ac:dyDescent="0.25">
      <c r="A3" s="323" t="s">
        <v>2026</v>
      </c>
      <c r="B3" s="323"/>
      <c r="C3" s="323"/>
      <c r="D3" s="323"/>
      <c r="E3" s="323"/>
      <c r="F3" s="323"/>
      <c r="G3" s="323"/>
      <c r="H3" s="323"/>
      <c r="I3" s="323"/>
    </row>
    <row r="4" spans="1:11" s="3" customFormat="1" ht="6.75" customHeight="1" x14ac:dyDescent="0.25">
      <c r="F4" s="138"/>
      <c r="G4" s="4"/>
      <c r="H4" s="138"/>
    </row>
    <row r="5" spans="1:11" s="3" customFormat="1" ht="15" customHeight="1" x14ac:dyDescent="0.25">
      <c r="A5" s="324" t="s">
        <v>2027</v>
      </c>
      <c r="B5" s="324"/>
      <c r="C5" s="324"/>
      <c r="D5" s="324"/>
      <c r="E5" s="324"/>
      <c r="F5" s="324"/>
      <c r="G5" s="324"/>
      <c r="H5" s="324"/>
      <c r="I5" s="324"/>
    </row>
    <row r="6" spans="1:11" s="3" customFormat="1" ht="21" customHeight="1" x14ac:dyDescent="0.25">
      <c r="A6" s="301" t="s">
        <v>3</v>
      </c>
      <c r="B6" s="301" t="s">
        <v>4</v>
      </c>
      <c r="C6" s="300" t="s">
        <v>6</v>
      </c>
      <c r="D6" s="301" t="s">
        <v>8</v>
      </c>
      <c r="E6" s="301" t="s">
        <v>10</v>
      </c>
      <c r="F6" s="301"/>
      <c r="G6" s="301" t="s">
        <v>1981</v>
      </c>
      <c r="H6" s="301" t="s">
        <v>2028</v>
      </c>
      <c r="I6" s="304" t="s">
        <v>2029</v>
      </c>
    </row>
    <row r="7" spans="1:11" s="3" customFormat="1" ht="21" customHeight="1" x14ac:dyDescent="0.25">
      <c r="A7" s="301"/>
      <c r="B7" s="301"/>
      <c r="C7" s="300"/>
      <c r="D7" s="301"/>
      <c r="E7" s="7" t="s">
        <v>58</v>
      </c>
      <c r="F7" s="158" t="s">
        <v>1982</v>
      </c>
      <c r="G7" s="301"/>
      <c r="H7" s="301"/>
      <c r="I7" s="304"/>
    </row>
    <row r="8" spans="1:11" s="3" customFormat="1" ht="19.5" customHeight="1" x14ac:dyDescent="0.25">
      <c r="A8" s="16">
        <v>1</v>
      </c>
      <c r="B8" s="13" t="str">
        <f>DATA!B8</f>
        <v>Edy Parlindungan.S.Pd,M.M</v>
      </c>
      <c r="C8" s="18" t="s">
        <v>69</v>
      </c>
      <c r="D8" s="16" t="str">
        <f>DATA!G8</f>
        <v xml:space="preserve"> 19630326 1989031007</v>
      </c>
      <c r="E8" s="16" t="str">
        <f>DATA!K8</f>
        <v>IV/b</v>
      </c>
      <c r="F8" s="159">
        <f>DATA!L8</f>
        <v>41365</v>
      </c>
      <c r="G8" s="17" t="str">
        <f>DATA!C8</f>
        <v>Maga, 26 Maret 1963</v>
      </c>
      <c r="H8" s="160">
        <f>DATA!AE8</f>
        <v>45017</v>
      </c>
      <c r="I8" s="13"/>
    </row>
    <row r="9" spans="1:11" s="3" customFormat="1" ht="18.75" customHeight="1" x14ac:dyDescent="0.25">
      <c r="A9" s="16">
        <v>2</v>
      </c>
      <c r="B9" s="13" t="str">
        <f>DATA!B9</f>
        <v>Ismi Yunaeni, S.Pd, M.Pd</v>
      </c>
      <c r="C9" s="18" t="str">
        <f>DATA!D9</f>
        <v>P</v>
      </c>
      <c r="D9" s="16" t="str">
        <f>DATA!G9</f>
        <v>196106021985122002</v>
      </c>
      <c r="E9" s="16" t="str">
        <f>DATA!K9</f>
        <v>IV/b</v>
      </c>
      <c r="F9" s="159" t="str">
        <f>DATA!L9</f>
        <v>01/04/2011</v>
      </c>
      <c r="G9" s="17" t="str">
        <f>DATA!C9</f>
        <v>Jember,02-06-1961</v>
      </c>
      <c r="H9" s="160" t="str">
        <f>DATA!AE9</f>
        <v>01/07/2021</v>
      </c>
      <c r="I9" s="160"/>
    </row>
    <row r="10" spans="1:11" s="3" customFormat="1" ht="18.75" customHeight="1" x14ac:dyDescent="0.25">
      <c r="A10" s="16">
        <v>3</v>
      </c>
      <c r="B10" s="13" t="str">
        <f>DATA!B10</f>
        <v>Lilik Ismiati, M.Pd</v>
      </c>
      <c r="C10" s="18" t="str">
        <f>DATA!D10</f>
        <v>P</v>
      </c>
      <c r="D10" s="16" t="str">
        <f>DATA!G10</f>
        <v>196307261987032007</v>
      </c>
      <c r="E10" s="16" t="str">
        <f>DATA!K10</f>
        <v>IV/b</v>
      </c>
      <c r="F10" s="159" t="str">
        <f>DATA!L10</f>
        <v>01/04/2014</v>
      </c>
      <c r="G10" s="17" t="str">
        <f>DATA!C10</f>
        <v>Malang, 26-07-1963</v>
      </c>
      <c r="H10" s="160" t="str">
        <f>DATA!AE10</f>
        <v>01/08/2023</v>
      </c>
      <c r="I10" s="160"/>
    </row>
    <row r="11" spans="1:11" s="3" customFormat="1" ht="18.75" customHeight="1" x14ac:dyDescent="0.25">
      <c r="A11" s="16">
        <v>4</v>
      </c>
      <c r="B11" s="13" t="str">
        <f>DATA!B11</f>
        <v>Dra. Nurhidayati, Sh, M.Pd.</v>
      </c>
      <c r="C11" s="18" t="str">
        <f>DATA!D11</f>
        <v>P</v>
      </c>
      <c r="D11" s="16" t="str">
        <f>DATA!G11</f>
        <v>196509181988032007</v>
      </c>
      <c r="E11" s="16" t="str">
        <f>DATA!K11</f>
        <v>IV/b</v>
      </c>
      <c r="F11" s="159" t="str">
        <f>DATA!L11</f>
        <v>01/10/2013</v>
      </c>
      <c r="G11" s="17" t="str">
        <f>DATA!C11</f>
        <v>Tulung Agung,18-9-1965</v>
      </c>
      <c r="H11" s="160" t="str">
        <f>DATA!AE11</f>
        <v>01/10/2025</v>
      </c>
      <c r="I11" s="160"/>
    </row>
    <row r="12" spans="1:11" s="3" customFormat="1" ht="18.75" customHeight="1" x14ac:dyDescent="0.25">
      <c r="A12" s="16">
        <v>5</v>
      </c>
      <c r="B12" s="13" t="str">
        <f>DATA!B12</f>
        <v>Drs. Sugiardi, M.M.</v>
      </c>
      <c r="C12" s="18" t="str">
        <f>DATA!D12</f>
        <v>L</v>
      </c>
      <c r="D12" s="16" t="str">
        <f>DATA!G12</f>
        <v>196406241995121002</v>
      </c>
      <c r="E12" s="16" t="str">
        <f>DATA!K12</f>
        <v>IV/b</v>
      </c>
      <c r="F12" s="159" t="str">
        <f>DATA!L12</f>
        <v>01/04/2019</v>
      </c>
      <c r="G12" s="17" t="str">
        <f>DATA!C12</f>
        <v>Malang,24-06-1964</v>
      </c>
      <c r="H12" s="160" t="str">
        <f>DATA!AE12</f>
        <v>01/07/2024</v>
      </c>
      <c r="I12" s="160"/>
    </row>
    <row r="13" spans="1:11" s="3" customFormat="1" ht="18.75" customHeight="1" x14ac:dyDescent="0.25">
      <c r="A13" s="16">
        <v>6</v>
      </c>
      <c r="B13" s="13" t="str">
        <f>DATA!B13</f>
        <v>Sri Wati, S.Pd, M.M.</v>
      </c>
      <c r="C13" s="18" t="str">
        <f>DATA!D13</f>
        <v>P</v>
      </c>
      <c r="D13" s="16" t="str">
        <f>DATA!G13</f>
        <v>196404191984122005</v>
      </c>
      <c r="E13" s="16" t="str">
        <f>DATA!K13</f>
        <v>IV/a</v>
      </c>
      <c r="F13" s="159" t="str">
        <f>DATA!L13</f>
        <v>01/10/2005</v>
      </c>
      <c r="G13" s="17" t="str">
        <f>DATA!C13</f>
        <v>Malang,19-04-1964</v>
      </c>
      <c r="H13" s="160" t="str">
        <f>DATA!AE13</f>
        <v>01/05/2024</v>
      </c>
      <c r="I13" s="160"/>
      <c r="K13" s="161"/>
    </row>
    <row r="14" spans="1:11" s="3" customFormat="1" ht="18.75" customHeight="1" x14ac:dyDescent="0.25">
      <c r="A14" s="16">
        <v>7</v>
      </c>
      <c r="B14" s="13" t="str">
        <f>DATA!B14</f>
        <v>Amantho, S.Pd</v>
      </c>
      <c r="C14" s="18" t="str">
        <f>DATA!D14</f>
        <v>L</v>
      </c>
      <c r="D14" s="16" t="str">
        <f>DATA!G14</f>
        <v>196203151985111002</v>
      </c>
      <c r="E14" s="16" t="str">
        <f>DATA!K14</f>
        <v>IV/a</v>
      </c>
      <c r="F14" s="159" t="str">
        <f>DATA!L14</f>
        <v>01/04/2005</v>
      </c>
      <c r="G14" s="17" t="str">
        <f>DATA!C14</f>
        <v>Banyuwangi, 15-03-1962</v>
      </c>
      <c r="H14" s="160" t="str">
        <f>DATA!AE14</f>
        <v>01/04/2022</v>
      </c>
      <c r="I14" s="160"/>
      <c r="K14" s="161"/>
    </row>
    <row r="15" spans="1:11" s="3" customFormat="1" ht="18.75" customHeight="1" x14ac:dyDescent="0.25">
      <c r="A15" s="16">
        <v>8</v>
      </c>
      <c r="B15" s="13" t="str">
        <f>DATA!B15</f>
        <v>Yayuk Harumiwati, S.Pd</v>
      </c>
      <c r="C15" s="18" t="str">
        <f>DATA!D15</f>
        <v>P</v>
      </c>
      <c r="D15" s="16" t="str">
        <f>DATA!G15</f>
        <v>196111071985122002</v>
      </c>
      <c r="E15" s="16" t="str">
        <f>DATA!K15</f>
        <v>IV/a</v>
      </c>
      <c r="F15" s="159" t="str">
        <f>DATA!L15</f>
        <v>01/04/2006</v>
      </c>
      <c r="G15" s="17" t="str">
        <f>DATA!C15</f>
        <v>Malang,07-11-1961</v>
      </c>
      <c r="H15" s="160" t="str">
        <f>DATA!AE15</f>
        <v>01/12/2021</v>
      </c>
      <c r="I15" s="160"/>
    </row>
    <row r="16" spans="1:11" s="3" customFormat="1" ht="18.75" customHeight="1" x14ac:dyDescent="0.25">
      <c r="A16" s="16">
        <v>9</v>
      </c>
      <c r="B16" s="13" t="str">
        <f>DATA!B16</f>
        <v>Ninil Agus Triastuti, S.Pd</v>
      </c>
      <c r="C16" s="18" t="str">
        <f>DATA!D16</f>
        <v>P</v>
      </c>
      <c r="D16" s="16" t="str">
        <f>DATA!G16</f>
        <v>196308111985122002</v>
      </c>
      <c r="E16" s="16" t="str">
        <f>DATA!K16</f>
        <v>IV/a</v>
      </c>
      <c r="F16" s="159" t="str">
        <f>DATA!L16</f>
        <v>01/04/2006</v>
      </c>
      <c r="G16" s="17" t="str">
        <f>DATA!C16</f>
        <v>Malang,11-08-1963</v>
      </c>
      <c r="H16" s="160" t="str">
        <f>DATA!AE16</f>
        <v>01/09/2023</v>
      </c>
      <c r="I16" s="160"/>
    </row>
    <row r="17" spans="1:9" s="3" customFormat="1" ht="18.75" customHeight="1" x14ac:dyDescent="0.25">
      <c r="A17" s="16">
        <v>10</v>
      </c>
      <c r="B17" s="13" t="str">
        <f>DATA!B17</f>
        <v>Dra. Amalia Ujinastiti</v>
      </c>
      <c r="C17" s="18" t="str">
        <f>DATA!D17</f>
        <v>P</v>
      </c>
      <c r="D17" s="16" t="str">
        <f>DATA!G17</f>
        <v>196205291989032004</v>
      </c>
      <c r="E17" s="16" t="str">
        <f>DATA!K17</f>
        <v>IV/a</v>
      </c>
      <c r="F17" s="159" t="str">
        <f>DATA!L17</f>
        <v>01/04/2002</v>
      </c>
      <c r="G17" s="17" t="str">
        <f>DATA!C17</f>
        <v>Yogyakarta, 29-5-1962</v>
      </c>
      <c r="H17" s="160" t="str">
        <f>DATA!AE17</f>
        <v>01/06/2022</v>
      </c>
      <c r="I17" s="160"/>
    </row>
    <row r="18" spans="1:9" s="3" customFormat="1" ht="18.75" customHeight="1" x14ac:dyDescent="0.25">
      <c r="A18" s="16">
        <v>11</v>
      </c>
      <c r="B18" s="13" t="str">
        <f>DATA!B18</f>
        <v>Dra. Shofiyatuz Zahra</v>
      </c>
      <c r="C18" s="18" t="str">
        <f>DATA!D18</f>
        <v>P</v>
      </c>
      <c r="D18" s="16" t="str">
        <f>DATA!G18</f>
        <v>196112121989022003</v>
      </c>
      <c r="E18" s="16" t="str">
        <f>DATA!K18</f>
        <v>IV/a</v>
      </c>
      <c r="F18" s="159" t="str">
        <f>DATA!L18</f>
        <v>01/04/2005</v>
      </c>
      <c r="G18" s="17" t="str">
        <f>DATA!C18</f>
        <v>Nganjuk,12-12-1961</v>
      </c>
      <c r="H18" s="160" t="str">
        <f>DATA!AE18</f>
        <v>01/01/2022</v>
      </c>
      <c r="I18" s="160"/>
    </row>
    <row r="19" spans="1:9" s="3" customFormat="1" ht="18.75" customHeight="1" x14ac:dyDescent="0.25">
      <c r="A19" s="16">
        <v>12</v>
      </c>
      <c r="B19" s="13" t="str">
        <f>DATA!B19</f>
        <v>Mudrikah Hayati, S.Pd</v>
      </c>
      <c r="C19" s="18" t="str">
        <f>DATA!D19</f>
        <v>P</v>
      </c>
      <c r="D19" s="16" t="str">
        <f>DATA!G19</f>
        <v>196306221987032006</v>
      </c>
      <c r="E19" s="16" t="str">
        <f>DATA!K19</f>
        <v>IV/a</v>
      </c>
      <c r="F19" s="159" t="str">
        <f>DATA!L19</f>
        <v>01/04/2006</v>
      </c>
      <c r="G19" s="17" t="str">
        <f>DATA!C19</f>
        <v>Blitar,22-06-1963</v>
      </c>
      <c r="H19" s="160" t="str">
        <f>DATA!AE19</f>
        <v>01/07/2023</v>
      </c>
      <c r="I19" s="160"/>
    </row>
    <row r="20" spans="1:9" s="3" customFormat="1" ht="18.75" customHeight="1" x14ac:dyDescent="0.25">
      <c r="A20" s="16">
        <v>13</v>
      </c>
      <c r="B20" s="13" t="str">
        <f>DATA!B20</f>
        <v>Tri Sakti Andayani. M.Pd</v>
      </c>
      <c r="C20" s="18" t="str">
        <f>DATA!D20</f>
        <v>P</v>
      </c>
      <c r="D20" s="16" t="str">
        <f>DATA!G20</f>
        <v>196508261988032015</v>
      </c>
      <c r="E20" s="16" t="str">
        <f>DATA!K20</f>
        <v>IV/a</v>
      </c>
      <c r="F20" s="159" t="str">
        <f>DATA!L20</f>
        <v>01/04/2005</v>
      </c>
      <c r="G20" s="17" t="str">
        <f>DATA!C20</f>
        <v>Trenggalek,26-8-1965</v>
      </c>
      <c r="H20" s="160" t="str">
        <f>DATA!AE20</f>
        <v>01/09/2025</v>
      </c>
      <c r="I20" s="160"/>
    </row>
    <row r="21" spans="1:9" s="3" customFormat="1" ht="18.75" customHeight="1" x14ac:dyDescent="0.25">
      <c r="A21" s="16">
        <v>14</v>
      </c>
      <c r="B21" s="13" t="str">
        <f>DATA!B21</f>
        <v>Drs. Sugeng Harianto</v>
      </c>
      <c r="C21" s="18" t="str">
        <f>DATA!D21</f>
        <v>L</v>
      </c>
      <c r="D21" s="16" t="str">
        <f>DATA!G21</f>
        <v>196207311990031003</v>
      </c>
      <c r="E21" s="16" t="str">
        <f>DATA!K21</f>
        <v>IV/a</v>
      </c>
      <c r="F21" s="159" t="str">
        <f>DATA!L21</f>
        <v>01/04/2007</v>
      </c>
      <c r="G21" s="17" t="str">
        <f>DATA!C21</f>
        <v>Malang, 31-7-1962</v>
      </c>
      <c r="H21" s="160" t="str">
        <f>DATA!AE21</f>
        <v>01/08/2022</v>
      </c>
      <c r="I21" s="160"/>
    </row>
    <row r="22" spans="1:9" s="3" customFormat="1" ht="18.75" customHeight="1" x14ac:dyDescent="0.25">
      <c r="A22" s="16">
        <v>15</v>
      </c>
      <c r="B22" s="13" t="str">
        <f>DATA!B22</f>
        <v>Yudiono, S.Pd</v>
      </c>
      <c r="C22" s="18" t="str">
        <f>DATA!D22</f>
        <v>L</v>
      </c>
      <c r="D22" s="16" t="str">
        <f>DATA!G22</f>
        <v>196509121989031017</v>
      </c>
      <c r="E22" s="16" t="str">
        <f>DATA!K22</f>
        <v>IV/a</v>
      </c>
      <c r="F22" s="159" t="str">
        <f>DATA!L22</f>
        <v>01/04/2008</v>
      </c>
      <c r="G22" s="17" t="str">
        <f>DATA!C22</f>
        <v>Malang,12-09-1965</v>
      </c>
      <c r="H22" s="160" t="str">
        <f>DATA!AE22</f>
        <v>01/10/2025</v>
      </c>
      <c r="I22" s="160"/>
    </row>
    <row r="23" spans="1:9" s="3" customFormat="1" ht="18.75" customHeight="1" x14ac:dyDescent="0.25">
      <c r="A23" s="16">
        <v>17</v>
      </c>
      <c r="B23" s="13" t="str">
        <f>DATA!B23</f>
        <v>Awaludin, M.Pd</v>
      </c>
      <c r="C23" s="18" t="str">
        <f>DATA!D23</f>
        <v>L</v>
      </c>
      <c r="D23" s="16" t="str">
        <f>DATA!G23</f>
        <v>196507151993031008</v>
      </c>
      <c r="E23" s="16" t="str">
        <f>DATA!K23</f>
        <v>IV/a</v>
      </c>
      <c r="F23" s="159" t="str">
        <f>DATA!L23</f>
        <v>01/10/2006</v>
      </c>
      <c r="G23" s="17" t="str">
        <f>DATA!C23</f>
        <v>Ujung Pandang,15-07-1965</v>
      </c>
      <c r="H23" s="160" t="str">
        <f>DATA!AE23</f>
        <v>01/08/2025</v>
      </c>
      <c r="I23" s="160"/>
    </row>
    <row r="24" spans="1:9" s="3" customFormat="1" ht="18.75" customHeight="1" x14ac:dyDescent="0.25">
      <c r="A24" s="16">
        <v>18</v>
      </c>
      <c r="B24" s="13" t="str">
        <f>DATA!B24</f>
        <v>Abdul Khamid, S.Pd</v>
      </c>
      <c r="C24" s="18" t="str">
        <f>DATA!D24</f>
        <v>L</v>
      </c>
      <c r="D24" s="16" t="str">
        <f>DATA!G24</f>
        <v>196908211994031005</v>
      </c>
      <c r="E24" s="16" t="str">
        <f>DATA!K24</f>
        <v>IV/a</v>
      </c>
      <c r="F24" s="159" t="str">
        <f>DATA!L24</f>
        <v>01/04/2011</v>
      </c>
      <c r="G24" s="17" t="str">
        <f>DATA!C24</f>
        <v>Malang, 21-08-1969</v>
      </c>
      <c r="H24" s="160" t="str">
        <f>DATA!AE24</f>
        <v>01/09/2029</v>
      </c>
      <c r="I24" s="160"/>
    </row>
    <row r="25" spans="1:9" s="3" customFormat="1" ht="18.75" customHeight="1" x14ac:dyDescent="0.25">
      <c r="A25" s="16">
        <v>19</v>
      </c>
      <c r="B25" s="13" t="str">
        <f>DATA!B25</f>
        <v>Shinta Amalia, M.Pd</v>
      </c>
      <c r="C25" s="18" t="str">
        <f>DATA!D25</f>
        <v>P</v>
      </c>
      <c r="D25" s="16" t="str">
        <f>DATA!G25</f>
        <v>196812201994122002</v>
      </c>
      <c r="E25" s="16" t="str">
        <f>DATA!K25</f>
        <v>IV/a</v>
      </c>
      <c r="F25" s="159" t="str">
        <f>DATA!L25</f>
        <v>01/04/2008</v>
      </c>
      <c r="G25" s="17" t="str">
        <f>DATA!C25</f>
        <v>Bandung,20-12-1968</v>
      </c>
      <c r="H25" s="160" t="str">
        <f>DATA!AE25</f>
        <v>01/01/2029</v>
      </c>
      <c r="I25" s="160"/>
    </row>
    <row r="26" spans="1:9" s="3" customFormat="1" ht="18.75" customHeight="1" x14ac:dyDescent="0.25">
      <c r="A26" s="16">
        <v>20</v>
      </c>
      <c r="B26" s="13" t="str">
        <f>DATA!B26</f>
        <v>Drs. Mohammad Qodri</v>
      </c>
      <c r="C26" s="18" t="str">
        <f>DATA!D26</f>
        <v>L</v>
      </c>
      <c r="D26" s="16" t="str">
        <f>DATA!G26</f>
        <v>196208101995121002</v>
      </c>
      <c r="E26" s="16" t="str">
        <f>DATA!K26</f>
        <v>IV/a</v>
      </c>
      <c r="F26" s="159" t="str">
        <f>DATA!L26</f>
        <v>01/10/2008</v>
      </c>
      <c r="G26" s="17" t="str">
        <f>DATA!C26</f>
        <v>Malang,10-08-1962</v>
      </c>
      <c r="H26" s="160" t="str">
        <f>DATA!AE26</f>
        <v>01/09/2022</v>
      </c>
      <c r="I26" s="160"/>
    </row>
    <row r="27" spans="1:9" s="3" customFormat="1" ht="18.75" customHeight="1" x14ac:dyDescent="0.25">
      <c r="A27" s="16">
        <v>21</v>
      </c>
      <c r="B27" s="13" t="str">
        <f>DATA!B27</f>
        <v>Dra. Mustaghfiroh</v>
      </c>
      <c r="C27" s="18" t="str">
        <f>DATA!D27</f>
        <v>P</v>
      </c>
      <c r="D27" s="16" t="str">
        <f>DATA!G27</f>
        <v>196601201995122002</v>
      </c>
      <c r="E27" s="16" t="str">
        <f>DATA!K27</f>
        <v>IV/a</v>
      </c>
      <c r="F27" s="159" t="str">
        <f>DATA!L27</f>
        <v>01/10/2008</v>
      </c>
      <c r="G27" s="17" t="str">
        <f>DATA!C27</f>
        <v>Malang,10-08-1966</v>
      </c>
      <c r="H27" s="160" t="str">
        <f>DATA!AE27</f>
        <v>01/02/2026</v>
      </c>
      <c r="I27" s="160"/>
    </row>
    <row r="28" spans="1:9" s="3" customFormat="1" ht="18.75" customHeight="1" x14ac:dyDescent="0.25">
      <c r="A28" s="16">
        <v>22</v>
      </c>
      <c r="B28" s="13" t="str">
        <f>DATA!B28</f>
        <v>Tatang Yuli Ahmadi, M.Pd</v>
      </c>
      <c r="C28" s="18" t="str">
        <f>DATA!D28</f>
        <v>L</v>
      </c>
      <c r="D28" s="16" t="str">
        <f>DATA!G28</f>
        <v>196807031993021001</v>
      </c>
      <c r="E28" s="16" t="str">
        <f>DATA!K28</f>
        <v>IV/a</v>
      </c>
      <c r="F28" s="159" t="str">
        <f>DATA!L28</f>
        <v>01/04/2011</v>
      </c>
      <c r="G28" s="17" t="str">
        <f>DATA!C28</f>
        <v>Malang, 03-07-1968</v>
      </c>
      <c r="H28" s="160" t="str">
        <f>DATA!AE28</f>
        <v>01/08/2028</v>
      </c>
      <c r="I28" s="160"/>
    </row>
    <row r="29" spans="1:9" s="3" customFormat="1" ht="18.75" customHeight="1" x14ac:dyDescent="0.25">
      <c r="A29" s="16">
        <v>23</v>
      </c>
      <c r="B29" s="13" t="str">
        <f>DATA!B29</f>
        <v>Ririn Andriana, M.Pd.</v>
      </c>
      <c r="C29" s="18" t="str">
        <f>DATA!D29</f>
        <v>P</v>
      </c>
      <c r="D29" s="16" t="str">
        <f>DATA!G29</f>
        <v>196510041996022001</v>
      </c>
      <c r="E29" s="16" t="str">
        <f>DATA!K29</f>
        <v>IV/a</v>
      </c>
      <c r="F29" s="159" t="str">
        <f>DATA!L29</f>
        <v>01/10/2008</v>
      </c>
      <c r="G29" s="17" t="str">
        <f>DATA!C29</f>
        <v>Probolinggo,04-10-1965</v>
      </c>
      <c r="H29" s="160" t="str">
        <f>DATA!AE29</f>
        <v>01/11/2025</v>
      </c>
      <c r="I29" s="160"/>
    </row>
    <row r="30" spans="1:9" s="3" customFormat="1" ht="18.75" customHeight="1" x14ac:dyDescent="0.25">
      <c r="A30" s="16">
        <v>24</v>
      </c>
      <c r="B30" s="13" t="str">
        <f>DATA!B30</f>
        <v>Dra. Winda Khusmiati</v>
      </c>
      <c r="C30" s="18" t="str">
        <f>DATA!D30</f>
        <v>P</v>
      </c>
      <c r="D30" s="16" t="str">
        <f>DATA!G30</f>
        <v>196305011997032002</v>
      </c>
      <c r="E30" s="16" t="str">
        <f>DATA!K30</f>
        <v>IV/a</v>
      </c>
      <c r="F30" s="159" t="str">
        <f>DATA!L30</f>
        <v>01/04/2013</v>
      </c>
      <c r="G30" s="17" t="str">
        <f>DATA!C30</f>
        <v>Malang, 01-05-1963</v>
      </c>
      <c r="H30" s="160" t="str">
        <f>DATA!AE30</f>
        <v>01/06/2023</v>
      </c>
      <c r="I30" s="160"/>
    </row>
    <row r="31" spans="1:9" s="3" customFormat="1" ht="18.75" customHeight="1" x14ac:dyDescent="0.25">
      <c r="A31" s="16">
        <v>25</v>
      </c>
      <c r="B31" s="13" t="str">
        <f>DATA!B31</f>
        <v>Drs. Hari Prasetyo</v>
      </c>
      <c r="C31" s="18" t="str">
        <f>DATA!D31</f>
        <v>L</v>
      </c>
      <c r="D31" s="16" t="str">
        <f>DATA!G31</f>
        <v>196705231999031003</v>
      </c>
      <c r="E31" s="16" t="str">
        <f>DATA!K31</f>
        <v>IV/a</v>
      </c>
      <c r="F31" s="159" t="str">
        <f>DATA!L31</f>
        <v>01/04/2013</v>
      </c>
      <c r="G31" s="17" t="str">
        <f>DATA!C31</f>
        <v>Ponorogo, 23-05-1967</v>
      </c>
      <c r="H31" s="160" t="str">
        <f>DATA!AE31</f>
        <v>01/06/2027</v>
      </c>
      <c r="I31" s="160"/>
    </row>
    <row r="32" spans="1:9" s="3" customFormat="1" ht="18.75" customHeight="1" x14ac:dyDescent="0.25">
      <c r="A32" s="16">
        <v>26</v>
      </c>
      <c r="B32" s="13" t="str">
        <f>DATA!B32</f>
        <v>Drs. Puji</v>
      </c>
      <c r="C32" s="18" t="str">
        <f>DATA!D32</f>
        <v>L</v>
      </c>
      <c r="D32" s="16" t="str">
        <f>DATA!G32</f>
        <v>196102161988031006</v>
      </c>
      <c r="E32" s="16" t="str">
        <f>DATA!K32</f>
        <v>III/d</v>
      </c>
      <c r="F32" s="159" t="str">
        <f>DATA!L32</f>
        <v>01/04/2011</v>
      </c>
      <c r="G32" s="17" t="str">
        <f>DATA!C32</f>
        <v>Malang,16-02-1961</v>
      </c>
      <c r="H32" s="160" t="str">
        <f>DATA!AE32</f>
        <v>01/03/2021</v>
      </c>
      <c r="I32" s="160"/>
    </row>
    <row r="33" spans="1:9" s="3" customFormat="1" ht="18.75" customHeight="1" x14ac:dyDescent="0.25">
      <c r="A33" s="16">
        <v>27</v>
      </c>
      <c r="B33" s="13" t="str">
        <f>DATA!B33</f>
        <v>Rina Yuliawati, S.Pd, M.Ed</v>
      </c>
      <c r="C33" s="18" t="str">
        <f>DATA!D33</f>
        <v>P</v>
      </c>
      <c r="D33" s="16" t="str">
        <f>DATA!G33</f>
        <v>196707081989012003</v>
      </c>
      <c r="E33" s="16" t="str">
        <f>DATA!K33</f>
        <v>III/d</v>
      </c>
      <c r="F33" s="159" t="str">
        <f>DATA!L33</f>
        <v>01/10/2011</v>
      </c>
      <c r="G33" s="17" t="str">
        <f>DATA!C33</f>
        <v>Malang, 08-07-1967</v>
      </c>
      <c r="H33" s="160" t="str">
        <f>DATA!AE33</f>
        <v>01/08/2027</v>
      </c>
      <c r="I33" s="160"/>
    </row>
    <row r="34" spans="1:9" s="3" customFormat="1" ht="18.75" customHeight="1" x14ac:dyDescent="0.25">
      <c r="A34" s="16">
        <v>28</v>
      </c>
      <c r="B34" s="13" t="str">
        <f>DATA!B34</f>
        <v>Subari, S.Pd</v>
      </c>
      <c r="C34" s="18" t="str">
        <f>DATA!D34</f>
        <v>L</v>
      </c>
      <c r="D34" s="16" t="str">
        <f>DATA!G34</f>
        <v>196503121986031021</v>
      </c>
      <c r="E34" s="16" t="str">
        <f>DATA!K34</f>
        <v>III/d</v>
      </c>
      <c r="F34" s="159" t="str">
        <f>DATA!L34</f>
        <v>01/04/2011</v>
      </c>
      <c r="G34" s="17" t="str">
        <f>DATA!C34</f>
        <v>Malang, 12-03-1965</v>
      </c>
      <c r="H34" s="160" t="str">
        <f>DATA!AE34</f>
        <v>01/04/2025</v>
      </c>
      <c r="I34" s="160"/>
    </row>
    <row r="35" spans="1:9" s="3" customFormat="1" ht="18.75" customHeight="1" x14ac:dyDescent="0.25">
      <c r="A35" s="16">
        <v>29</v>
      </c>
      <c r="B35" s="13" t="str">
        <f>DATA!B35</f>
        <v>Sennawati, S.Pd</v>
      </c>
      <c r="C35" s="18" t="str">
        <f>DATA!D35</f>
        <v>P</v>
      </c>
      <c r="D35" s="16" t="str">
        <f>DATA!G35</f>
        <v>196807041998032006</v>
      </c>
      <c r="E35" s="16" t="str">
        <f>DATA!K35</f>
        <v>III/d</v>
      </c>
      <c r="F35" s="159" t="str">
        <f>DATA!L35</f>
        <v>01/02/2011</v>
      </c>
      <c r="G35" s="17" t="str">
        <f>DATA!C35</f>
        <v>Bone, 04-07-1968</v>
      </c>
      <c r="H35" s="160" t="str">
        <f>DATA!AE35</f>
        <v>01/08/2028</v>
      </c>
      <c r="I35" s="160"/>
    </row>
    <row r="36" spans="1:9" s="3" customFormat="1" ht="18.75" customHeight="1" x14ac:dyDescent="0.25">
      <c r="A36" s="16">
        <v>30</v>
      </c>
      <c r="B36" s="13" t="str">
        <f>DATA!B36</f>
        <v>Purwoto, S.Pd, M.Pd</v>
      </c>
      <c r="C36" s="18" t="str">
        <f>DATA!D36</f>
        <v>L</v>
      </c>
      <c r="D36" s="16" t="str">
        <f>DATA!G36</f>
        <v>196507252005011007</v>
      </c>
      <c r="E36" s="16" t="str">
        <f>DATA!K36</f>
        <v>III/d</v>
      </c>
      <c r="F36" s="159" t="str">
        <f>DATA!L36</f>
        <v>01/04/2013</v>
      </c>
      <c r="G36" s="17" t="str">
        <f>DATA!C36</f>
        <v>Malang, 25-07-1965</v>
      </c>
      <c r="H36" s="160" t="str">
        <f>DATA!AE36</f>
        <v>01/08/2025</v>
      </c>
      <c r="I36" s="160"/>
    </row>
    <row r="37" spans="1:9" s="3" customFormat="1" ht="18.75" customHeight="1" x14ac:dyDescent="0.25">
      <c r="A37" s="16">
        <v>31</v>
      </c>
      <c r="B37" s="13" t="str">
        <f>DATA!B37</f>
        <v>Anis Dyah Wahyuti, S.Pd</v>
      </c>
      <c r="C37" s="18" t="str">
        <f>DATA!D37</f>
        <v>P</v>
      </c>
      <c r="D37" s="16" t="str">
        <f>DATA!G37</f>
        <v>197505172000122001</v>
      </c>
      <c r="E37" s="16" t="str">
        <f>DATA!K37</f>
        <v>III/d</v>
      </c>
      <c r="F37" s="159" t="str">
        <f>DATA!L37</f>
        <v>01/04/2011</v>
      </c>
      <c r="G37" s="17" t="str">
        <f>DATA!C37</f>
        <v>Kediri,17-05-1975</v>
      </c>
      <c r="H37" s="160" t="str">
        <f>DATA!AE37</f>
        <v>01/06/2035</v>
      </c>
      <c r="I37" s="160"/>
    </row>
    <row r="38" spans="1:9" s="3" customFormat="1" ht="18.75" customHeight="1" x14ac:dyDescent="0.25">
      <c r="A38" s="16">
        <v>32</v>
      </c>
      <c r="B38" s="13" t="str">
        <f>DATA!B38</f>
        <v>Deddy Iskandar, S.Sn</v>
      </c>
      <c r="C38" s="18" t="str">
        <f>DATA!D38</f>
        <v>L</v>
      </c>
      <c r="D38" s="16" t="str">
        <f>DATA!G38</f>
        <v>196909142005011013</v>
      </c>
      <c r="E38" s="16" t="str">
        <f>DATA!K38</f>
        <v>III/d</v>
      </c>
      <c r="F38" s="159" t="str">
        <f>DATA!L38</f>
        <v>01/10/2016</v>
      </c>
      <c r="G38" s="17" t="str">
        <f>DATA!C38</f>
        <v>Malang, 14-09-1969</v>
      </c>
      <c r="H38" s="160" t="str">
        <f>DATA!AE38</f>
        <v>01/10/2029</v>
      </c>
      <c r="I38" s="160"/>
    </row>
    <row r="39" spans="1:9" s="3" customFormat="1" ht="18.75" customHeight="1" x14ac:dyDescent="0.25">
      <c r="A39" s="16">
        <v>33</v>
      </c>
      <c r="B39" s="13" t="str">
        <f>DATA!B39</f>
        <v>Iwan Yudi Hernawan, S.Pd, M.Pd.</v>
      </c>
      <c r="C39" s="18" t="str">
        <f>DATA!D39</f>
        <v>L</v>
      </c>
      <c r="D39" s="16" t="str">
        <f>DATA!G39</f>
        <v>197504062005011016</v>
      </c>
      <c r="E39" s="16" t="str">
        <f>DATA!K39</f>
        <v>III/d</v>
      </c>
      <c r="F39" s="159" t="str">
        <f>DATA!L39</f>
        <v>01/10/2017</v>
      </c>
      <c r="G39" s="17" t="str">
        <f>DATA!C39</f>
        <v>Blitar, 06-04-1975</v>
      </c>
      <c r="H39" s="160" t="str">
        <f>DATA!AE39</f>
        <v>01/05/2035</v>
      </c>
      <c r="I39" s="160"/>
    </row>
    <row r="40" spans="1:9" s="3" customFormat="1" ht="18.75" customHeight="1" x14ac:dyDescent="0.25">
      <c r="A40" s="16">
        <v>34</v>
      </c>
      <c r="B40" s="13" t="str">
        <f>DATA!B40</f>
        <v>Agustini Purwanti, M.Pd.</v>
      </c>
      <c r="C40" s="18" t="str">
        <f>DATA!D40</f>
        <v>P</v>
      </c>
      <c r="D40" s="16" t="str">
        <f>DATA!G40</f>
        <v>197508152005012011</v>
      </c>
      <c r="E40" s="16" t="str">
        <f>DATA!K40</f>
        <v>III/c</v>
      </c>
      <c r="F40" s="159" t="str">
        <f>DATA!L40</f>
        <v>01/10/2019</v>
      </c>
      <c r="G40" s="17" t="str">
        <f>DATA!C40</f>
        <v>Malang, 15 Agustus 1975</v>
      </c>
      <c r="H40" s="160" t="str">
        <f>DATA!AE40</f>
        <v>01/09/2035</v>
      </c>
      <c r="I40" s="160"/>
    </row>
    <row r="41" spans="1:9" s="3" customFormat="1" ht="18.75" customHeight="1" x14ac:dyDescent="0.25">
      <c r="A41" s="16">
        <v>35</v>
      </c>
      <c r="B41" s="13" t="str">
        <f>DATA!B41</f>
        <v>Drs. Pa'i</v>
      </c>
      <c r="C41" s="18" t="str">
        <f>DATA!D41</f>
        <v>L</v>
      </c>
      <c r="D41" s="16" t="str">
        <f>DATA!G41</f>
        <v>196501232007011002</v>
      </c>
      <c r="E41" s="16" t="str">
        <f>DATA!K41</f>
        <v>III/c</v>
      </c>
      <c r="F41" s="159" t="str">
        <f>DATA!L41</f>
        <v>01/10/2016</v>
      </c>
      <c r="G41" s="17" t="str">
        <f>DATA!C41</f>
        <v>Pasuruan, 23-01-1965</v>
      </c>
      <c r="H41" s="160" t="str">
        <f>DATA!AE41</f>
        <v>01/02/2025</v>
      </c>
      <c r="I41" s="160"/>
    </row>
    <row r="42" spans="1:9" s="3" customFormat="1" ht="18.75" customHeight="1" x14ac:dyDescent="0.25">
      <c r="A42" s="16">
        <v>36</v>
      </c>
      <c r="B42" s="13" t="str">
        <f>DATA!B42</f>
        <v>Hermawanto, M.Pd.</v>
      </c>
      <c r="C42" s="18" t="str">
        <f>DATA!D42</f>
        <v>L</v>
      </c>
      <c r="D42" s="16" t="str">
        <f>DATA!G42</f>
        <v>198302192006041011</v>
      </c>
      <c r="E42" s="16" t="str">
        <f>DATA!K42</f>
        <v>III/c</v>
      </c>
      <c r="F42" s="159" t="str">
        <f>DATA!L42</f>
        <v>01/04/2016</v>
      </c>
      <c r="G42" s="17" t="str">
        <f>DATA!C42</f>
        <v>Batu, 19-02-1983</v>
      </c>
      <c r="H42" s="160" t="str">
        <f>DATA!AE42</f>
        <v>01/03/2043</v>
      </c>
      <c r="I42" s="160"/>
    </row>
    <row r="43" spans="1:9" s="3" customFormat="1" ht="18.75" customHeight="1" x14ac:dyDescent="0.25">
      <c r="A43" s="16">
        <v>37</v>
      </c>
      <c r="B43" s="13" t="str">
        <f>DATA!B43</f>
        <v>Reny Widayanti,SE</v>
      </c>
      <c r="C43" s="18" t="str">
        <f>DATA!D43</f>
        <v>P</v>
      </c>
      <c r="D43" s="16" t="str">
        <f>DATA!G43</f>
        <v>197212032006042005</v>
      </c>
      <c r="E43" s="16" t="str">
        <f>DATA!K43</f>
        <v>III/c</v>
      </c>
      <c r="F43" s="159" t="str">
        <f>DATA!L43</f>
        <v>01/10/2015</v>
      </c>
      <c r="G43" s="17" t="str">
        <f>DATA!C43</f>
        <v>Batu-Malang, 03-12-1972</v>
      </c>
      <c r="H43" s="160" t="str">
        <f>DATA!AE43</f>
        <v>01/01/2033</v>
      </c>
      <c r="I43" s="160"/>
    </row>
    <row r="44" spans="1:9" s="3" customFormat="1" ht="18.75" customHeight="1" x14ac:dyDescent="0.25">
      <c r="A44" s="16">
        <v>38</v>
      </c>
      <c r="B44" s="13" t="str">
        <f>DATA!B44</f>
        <v>Umi Solikah, S.Pd.</v>
      </c>
      <c r="C44" s="18" t="str">
        <f>DATA!D44</f>
        <v>P</v>
      </c>
      <c r="D44" s="16" t="str">
        <f>DATA!G44</f>
        <v>197104132006042023</v>
      </c>
      <c r="E44" s="16" t="str">
        <f>DATA!K44</f>
        <v>III/c</v>
      </c>
      <c r="F44" s="159" t="str">
        <f>DATA!L44</f>
        <v>01/10/2019</v>
      </c>
      <c r="G44" s="17" t="str">
        <f>DATA!C44</f>
        <v>Batu, 13-04-1971</v>
      </c>
      <c r="H44" s="160" t="str">
        <f>DATA!AE44</f>
        <v>01/05/2031</v>
      </c>
      <c r="I44" s="160"/>
    </row>
    <row r="45" spans="1:9" s="3" customFormat="1" ht="18.75" customHeight="1" x14ac:dyDescent="0.25">
      <c r="A45" s="16">
        <v>39</v>
      </c>
      <c r="B45" s="13" t="str">
        <f>DATA!B45</f>
        <v>Nita Rimayanti, S.Pd.</v>
      </c>
      <c r="C45" s="18" t="str">
        <f>DATA!D45</f>
        <v>P</v>
      </c>
      <c r="D45" s="16" t="str">
        <f>DATA!G45</f>
        <v>198607282009032005</v>
      </c>
      <c r="E45" s="16" t="str">
        <f>DATA!K45</f>
        <v>III/c</v>
      </c>
      <c r="F45" s="159" t="str">
        <f>DATA!L45</f>
        <v>01//04/2020</v>
      </c>
      <c r="G45" s="17" t="str">
        <f>DATA!C45</f>
        <v>Malang, 28-07-1986</v>
      </c>
      <c r="H45" s="160" t="str">
        <f>DATA!AE45</f>
        <v>01/08/2046</v>
      </c>
      <c r="I45" s="160"/>
    </row>
    <row r="46" spans="1:9" s="3" customFormat="1" ht="18.75" customHeight="1" x14ac:dyDescent="0.25">
      <c r="A46" s="16">
        <v>40</v>
      </c>
      <c r="B46" s="13" t="str">
        <f>DATA!B46</f>
        <v>Sutejo, S.Pd</v>
      </c>
      <c r="C46" s="18" t="str">
        <f>DATA!D46</f>
        <v>L</v>
      </c>
      <c r="D46" s="16" t="str">
        <f>DATA!G46</f>
        <v>197307092006041013</v>
      </c>
      <c r="E46" s="16" t="str">
        <f>DATA!K46</f>
        <v>III/b</v>
      </c>
      <c r="F46" s="159" t="str">
        <f>DATA!L46</f>
        <v>01/10/2011</v>
      </c>
      <c r="G46" s="17" t="str">
        <f>DATA!C46</f>
        <v>Banjarnegara, 09-07-1973</v>
      </c>
      <c r="H46" s="160" t="str">
        <f>DATA!AE46</f>
        <v>01/08/2033</v>
      </c>
      <c r="I46" s="160"/>
    </row>
    <row r="47" spans="1:9" s="3" customFormat="1" ht="18.75" customHeight="1" x14ac:dyDescent="0.25">
      <c r="A47" s="16">
        <v>41</v>
      </c>
      <c r="B47" s="13" t="str">
        <f>DATA!B47</f>
        <v>Kuswanto, M.Pd.K</v>
      </c>
      <c r="C47" s="18" t="str">
        <f>DATA!D47</f>
        <v>L</v>
      </c>
      <c r="D47" s="16" t="str">
        <f>DATA!G47</f>
        <v>196403102007011014</v>
      </c>
      <c r="E47" s="16" t="str">
        <f>DATA!K47</f>
        <v>III/b</v>
      </c>
      <c r="F47" s="159" t="str">
        <f>DATA!L47</f>
        <v>01/04/2012</v>
      </c>
      <c r="G47" s="17" t="str">
        <f>DATA!C47</f>
        <v>Pati, 10 Maret 1964</v>
      </c>
      <c r="H47" s="160" t="str">
        <f>DATA!AE47</f>
        <v>01/04/2024</v>
      </c>
      <c r="I47" s="160"/>
    </row>
    <row r="48" spans="1:9" s="3" customFormat="1" ht="18.75" customHeight="1" x14ac:dyDescent="0.25">
      <c r="A48" s="16">
        <v>42</v>
      </c>
      <c r="B48" s="13" t="str">
        <f>DATA!B48</f>
        <v>Drs. Bonari</v>
      </c>
      <c r="C48" s="18" t="str">
        <f>DATA!D48</f>
        <v>L</v>
      </c>
      <c r="D48" s="16" t="str">
        <f>DATA!G48</f>
        <v>196310302007011004</v>
      </c>
      <c r="E48" s="16" t="str">
        <f>DATA!K48</f>
        <v>III/b</v>
      </c>
      <c r="F48" s="159" t="str">
        <f>DATA!L48</f>
        <v>01/04/2012</v>
      </c>
      <c r="G48" s="17" t="str">
        <f>DATA!C48</f>
        <v>Blitar, 30-10-1963</v>
      </c>
      <c r="H48" s="160" t="str">
        <f>DATA!AE48</f>
        <v>01/11/2023</v>
      </c>
      <c r="I48" s="160"/>
    </row>
    <row r="49" spans="1:9" s="3" customFormat="1" ht="18.75" customHeight="1" x14ac:dyDescent="0.25">
      <c r="A49" s="16">
        <v>43</v>
      </c>
      <c r="B49" s="13" t="str">
        <f>DATA!B49</f>
        <v>Dra. Wahyuni</v>
      </c>
      <c r="C49" s="18" t="str">
        <f>DATA!D49</f>
        <v>P</v>
      </c>
      <c r="D49" s="16" t="str">
        <f>DATA!G49</f>
        <v>196503172008012005</v>
      </c>
      <c r="E49" s="16" t="str">
        <f>DATA!K49</f>
        <v>III/b</v>
      </c>
      <c r="F49" s="159" t="str">
        <f>DATA!L49</f>
        <v>01/04/2013</v>
      </c>
      <c r="G49" s="17" t="str">
        <f>DATA!C49</f>
        <v>Malang, 17-3-1965</v>
      </c>
      <c r="H49" s="160" t="str">
        <f>DATA!AE49</f>
        <v>01/04/2025</v>
      </c>
      <c r="I49" s="160"/>
    </row>
    <row r="50" spans="1:9" s="3" customFormat="1" ht="18.75" customHeight="1" x14ac:dyDescent="0.25">
      <c r="A50" s="16">
        <v>44</v>
      </c>
      <c r="B50" s="13" t="str">
        <f>DATA!B50</f>
        <v>Dra. Nina Dwiana</v>
      </c>
      <c r="C50" s="18" t="str">
        <f>DATA!D50</f>
        <v>P</v>
      </c>
      <c r="D50" s="16" t="str">
        <f>DATA!G50</f>
        <v>196605172008012007</v>
      </c>
      <c r="E50" s="16" t="str">
        <f>DATA!K50</f>
        <v>III/b</v>
      </c>
      <c r="F50" s="159" t="str">
        <f>DATA!L50</f>
        <v>01/04/2013</v>
      </c>
      <c r="G50" s="17" t="str">
        <f>DATA!C50</f>
        <v>Blitar,17-05-1966</v>
      </c>
      <c r="H50" s="160" t="str">
        <f>DATA!AE50</f>
        <v>01/06/2026</v>
      </c>
      <c r="I50" s="160"/>
    </row>
    <row r="51" spans="1:9" s="3" customFormat="1" ht="18.75" customHeight="1" x14ac:dyDescent="0.25">
      <c r="A51" s="16">
        <v>45</v>
      </c>
      <c r="B51" s="13" t="str">
        <f>DATA!B51</f>
        <v>Rini Wahyuningsih,S.Pd</v>
      </c>
      <c r="C51" s="18" t="str">
        <f>DATA!D51</f>
        <v>P</v>
      </c>
      <c r="D51" s="16" t="str">
        <f>DATA!G51</f>
        <v>197310122008012005</v>
      </c>
      <c r="E51" s="16" t="str">
        <f>DATA!K51</f>
        <v>III/b</v>
      </c>
      <c r="F51" s="159" t="str">
        <f>DATA!L51</f>
        <v>01/04/2013</v>
      </c>
      <c r="G51" s="17" t="str">
        <f>DATA!C51</f>
        <v>Malang, 12-10-1973</v>
      </c>
      <c r="H51" s="160" t="str">
        <f>DATA!AE51</f>
        <v>01/11/2033</v>
      </c>
      <c r="I51" s="160"/>
    </row>
    <row r="52" spans="1:9" s="3" customFormat="1" ht="18.75" customHeight="1" x14ac:dyDescent="0.25">
      <c r="A52" s="16">
        <v>46</v>
      </c>
      <c r="B52" s="13" t="str">
        <f>DATA!B52</f>
        <v>Dewi Insyasiska, M.Pd</v>
      </c>
      <c r="C52" s="18" t="str">
        <f>DATA!D52</f>
        <v>P</v>
      </c>
      <c r="D52" s="16" t="str">
        <f>DATA!G52</f>
        <v>197808232006042029</v>
      </c>
      <c r="E52" s="16" t="str">
        <f>DATA!K52</f>
        <v>III/b</v>
      </c>
      <c r="F52" s="159" t="str">
        <f>DATA!L52</f>
        <v>01/10/2010</v>
      </c>
      <c r="G52" s="17" t="str">
        <f>DATA!C52</f>
        <v>Malang, 23-08-1978</v>
      </c>
      <c r="H52" s="160" t="str">
        <f>DATA!AE52</f>
        <v>01/09/2038</v>
      </c>
      <c r="I52" s="160"/>
    </row>
    <row r="53" spans="1:9" s="3" customFormat="1" ht="18.75" customHeight="1" x14ac:dyDescent="0.25">
      <c r="A53" s="16">
        <v>47</v>
      </c>
      <c r="B53" s="13" t="str">
        <f>DATA!B53</f>
        <v>Drs.Solikin, M.Pd.I</v>
      </c>
      <c r="C53" s="18" t="str">
        <f>DATA!D53</f>
        <v>L</v>
      </c>
      <c r="D53" s="16" t="str">
        <f>DATA!G53</f>
        <v>196304112007011008</v>
      </c>
      <c r="E53" s="16" t="str">
        <f>DATA!K53</f>
        <v>III/b</v>
      </c>
      <c r="F53" s="159" t="str">
        <f>DATA!L53</f>
        <v>01/04/2012</v>
      </c>
      <c r="G53" s="17" t="str">
        <f>DATA!C53</f>
        <v>Malang, 11-04-1963</v>
      </c>
      <c r="H53" s="160" t="str">
        <f>DATA!AE53</f>
        <v>01/05/2023</v>
      </c>
      <c r="I53" s="160"/>
    </row>
    <row r="54" spans="1:9" s="3" customFormat="1" ht="18.75" customHeight="1" x14ac:dyDescent="0.25">
      <c r="A54" s="16">
        <v>48</v>
      </c>
      <c r="B54" s="13" t="str">
        <f>DATA!B54</f>
        <v>Anas Bachtiar, S.Pd.</v>
      </c>
      <c r="C54" s="18" t="str">
        <f>DATA!D54</f>
        <v>L</v>
      </c>
      <c r="D54" s="16" t="str">
        <f>DATA!G54</f>
        <v>198407162009031005</v>
      </c>
      <c r="E54" s="16" t="str">
        <f>DATA!K54</f>
        <v>III/b</v>
      </c>
      <c r="F54" s="159" t="str">
        <f>DATA!L54</f>
        <v>01/10/2016</v>
      </c>
      <c r="G54" s="17" t="str">
        <f>DATA!C54</f>
        <v>Malang, 16 Juli 1984</v>
      </c>
      <c r="H54" s="160" t="str">
        <f>DATA!AE54</f>
        <v>01/08/2044</v>
      </c>
      <c r="I54" s="160"/>
    </row>
    <row r="55" spans="1:9" s="3" customFormat="1" ht="18.75" customHeight="1" x14ac:dyDescent="0.25">
      <c r="A55" s="16">
        <v>49</v>
      </c>
      <c r="B55" s="13" t="str">
        <f>DATA!B55</f>
        <v>Aris Eko Kurniawan, M.Pd.</v>
      </c>
      <c r="C55" s="18" t="str">
        <f>DATA!D55</f>
        <v>L</v>
      </c>
      <c r="D55" s="16" t="str">
        <f>DATA!G55</f>
        <v>198102142010011017</v>
      </c>
      <c r="E55" s="16" t="str">
        <f>DATA!K55</f>
        <v>III/b</v>
      </c>
      <c r="F55" s="159" t="str">
        <f>DATA!L55</f>
        <v>01/10/2017</v>
      </c>
      <c r="G55" s="17" t="str">
        <f>DATA!C55</f>
        <v>Bojonegoro,14-02-1981</v>
      </c>
      <c r="H55" s="160" t="str">
        <f>DATA!AE55</f>
        <v>01/03/2041</v>
      </c>
      <c r="I55" s="160"/>
    </row>
    <row r="56" spans="1:9" s="3" customFormat="1" ht="18.75" customHeight="1" x14ac:dyDescent="0.25">
      <c r="A56" s="16">
        <v>50</v>
      </c>
      <c r="B56" s="13" t="str">
        <f>DATA!B56</f>
        <v>Nenni Setyo Utami, ST</v>
      </c>
      <c r="C56" s="18" t="str">
        <f>DATA!D56</f>
        <v>P</v>
      </c>
      <c r="D56" s="16" t="str">
        <f>DATA!G56</f>
        <v>197503122010012013</v>
      </c>
      <c r="E56" s="16" t="str">
        <f>DATA!K56</f>
        <v>III/b</v>
      </c>
      <c r="F56" s="159" t="str">
        <f>DATA!L56</f>
        <v>01/04/2018</v>
      </c>
      <c r="G56" s="17" t="str">
        <f>DATA!C56</f>
        <v>Malang,12-03-1975</v>
      </c>
      <c r="H56" s="160" t="str">
        <f>DATA!AE56</f>
        <v>01/04/2035</v>
      </c>
      <c r="I56" s="160"/>
    </row>
    <row r="57" spans="1:9" s="3" customFormat="1" ht="18.75" customHeight="1" x14ac:dyDescent="0.25">
      <c r="A57" s="16">
        <v>51</v>
      </c>
      <c r="B57" s="13" t="str">
        <f>DATA!B57</f>
        <v>Any Novitasari, S.Pd.</v>
      </c>
      <c r="C57" s="18" t="str">
        <f>DATA!D57</f>
        <v>P</v>
      </c>
      <c r="D57" s="16" t="str">
        <f>DATA!G57</f>
        <v>198611212010012014</v>
      </c>
      <c r="E57" s="16" t="str">
        <f>DATA!K57</f>
        <v>III/b</v>
      </c>
      <c r="F57" s="159" t="str">
        <f>DATA!L57</f>
        <v>01/04/2018</v>
      </c>
      <c r="G57" s="17" t="str">
        <f>DATA!C57</f>
        <v>Kediri,21-11-1986</v>
      </c>
      <c r="H57" s="160" t="str">
        <f>DATA!AE57</f>
        <v>01/12/2046</v>
      </c>
      <c r="I57" s="160"/>
    </row>
    <row r="58" spans="1:9" s="3" customFormat="1" ht="18.75" customHeight="1" x14ac:dyDescent="0.25">
      <c r="A58" s="16">
        <v>52</v>
      </c>
      <c r="B58" s="13" t="str">
        <f>DATA!B58</f>
        <v>Uum Willatifa, S.Pd.</v>
      </c>
      <c r="C58" s="18" t="str">
        <f>DATA!D58</f>
        <v>P</v>
      </c>
      <c r="D58" s="16" t="str">
        <f>DATA!G58</f>
        <v>196310222007012006</v>
      </c>
      <c r="E58" s="16" t="str">
        <f>DATA!K58</f>
        <v>III/b</v>
      </c>
      <c r="F58" s="159" t="str">
        <f>DATA!L58</f>
        <v>01/04/2012</v>
      </c>
      <c r="G58" s="17" t="str">
        <f>DATA!C58</f>
        <v>Malang, 22 Oktober 1963</v>
      </c>
      <c r="H58" s="160" t="str">
        <f>DATA!AE58</f>
        <v>01/11/2023</v>
      </c>
      <c r="I58" s="160"/>
    </row>
    <row r="59" spans="1:9" s="3" customFormat="1" ht="18.75" customHeight="1" x14ac:dyDescent="0.25">
      <c r="A59" s="16">
        <v>53</v>
      </c>
      <c r="B59" s="13" t="str">
        <f>DATA!B59</f>
        <v>Distri Adi Setiawan, S.S</v>
      </c>
      <c r="C59" s="18" t="str">
        <f>DATA!D59</f>
        <v>L</v>
      </c>
      <c r="D59" s="16" t="str">
        <f>DATA!G59</f>
        <v>198312142011011005</v>
      </c>
      <c r="E59" s="16" t="str">
        <f>DATA!K59</f>
        <v>III/b</v>
      </c>
      <c r="F59" s="159" t="str">
        <f>DATA!L59</f>
        <v>01/04/2020</v>
      </c>
      <c r="G59" s="17" t="str">
        <f>DATA!C59</f>
        <v>Malang, 14-12-1983</v>
      </c>
      <c r="H59" s="160" t="str">
        <f>DATA!AE59</f>
        <v>01/01/2044</v>
      </c>
      <c r="I59" s="160"/>
    </row>
    <row r="60" spans="1:9" s="3" customFormat="1" ht="18.75" customHeight="1" x14ac:dyDescent="0.25">
      <c r="A60" s="16">
        <v>54</v>
      </c>
      <c r="B60" s="13" t="str">
        <f>DATA!B60</f>
        <v>Ardianto, S.Pd.</v>
      </c>
      <c r="C60" s="18" t="str">
        <f>DATA!D60</f>
        <v>L</v>
      </c>
      <c r="D60" s="16" t="str">
        <f>DATA!G60</f>
        <v>197407082010011008</v>
      </c>
      <c r="E60" s="16" t="str">
        <f>DATA!K60</f>
        <v>III/b</v>
      </c>
      <c r="F60" s="159" t="str">
        <f>DATA!L60</f>
        <v>01/10/2016</v>
      </c>
      <c r="G60" s="17" t="str">
        <f>DATA!C60</f>
        <v>Sidoarjo, 08-07-1974</v>
      </c>
      <c r="H60" s="160" t="str">
        <f>DATA!AE60</f>
        <v>01/082034</v>
      </c>
      <c r="I60" s="160"/>
    </row>
    <row r="61" spans="1:9" s="3" customFormat="1" ht="18.75" customHeight="1" x14ac:dyDescent="0.25">
      <c r="A61" s="16">
        <v>55</v>
      </c>
      <c r="B61" s="13" t="str">
        <f>DATA!B61</f>
        <v>Amandus Gabhe Jao, S.S</v>
      </c>
      <c r="C61" s="18" t="str">
        <f>DATA!D61</f>
        <v>L</v>
      </c>
      <c r="D61" s="16" t="str">
        <f>DATA!G61</f>
        <v>197002102009031001</v>
      </c>
      <c r="E61" s="16" t="str">
        <f>DATA!K61</f>
        <v>III/a</v>
      </c>
      <c r="F61" s="159" t="str">
        <f>DATA!L61</f>
        <v>01/03/2011</v>
      </c>
      <c r="G61" s="17" t="str">
        <f>DATA!C61</f>
        <v>Doberako, 10-02-1970</v>
      </c>
      <c r="H61" s="160" t="str">
        <f>DATA!AE61</f>
        <v>01/03/2030</v>
      </c>
      <c r="I61" s="160"/>
    </row>
    <row r="62" spans="1:9" s="3" customFormat="1" ht="18.75" customHeight="1" x14ac:dyDescent="0.25">
      <c r="A62" s="16">
        <v>56</v>
      </c>
      <c r="B62" s="13" t="str">
        <f>DATA!B62</f>
        <v>Suhariyanti, S.Sos, M.Sos</v>
      </c>
      <c r="C62" s="18" t="str">
        <f>DATA!D62</f>
        <v>P</v>
      </c>
      <c r="D62" s="16" t="str">
        <f>DATA!G62</f>
        <v>197411092014122001</v>
      </c>
      <c r="E62" s="16" t="str">
        <f>DATA!K62</f>
        <v>III/a</v>
      </c>
      <c r="F62" s="159" t="str">
        <f>DATA!L62</f>
        <v>01/03/2016</v>
      </c>
      <c r="G62" s="17" t="str">
        <f>DATA!C62</f>
        <v>Malang,09-11-1974</v>
      </c>
      <c r="H62" s="160" t="str">
        <f>DATA!AE62</f>
        <v>01/12/2034</v>
      </c>
      <c r="I62" s="160"/>
    </row>
    <row r="63" spans="1:9" s="3" customFormat="1" ht="18.75" customHeight="1" x14ac:dyDescent="0.25">
      <c r="A63" s="16">
        <v>57</v>
      </c>
      <c r="B63" s="13" t="str">
        <f>DATA!B63</f>
        <v>Heny Nurmayanto, S.Sn</v>
      </c>
      <c r="C63" s="18" t="str">
        <f>DATA!D63</f>
        <v>L</v>
      </c>
      <c r="D63" s="16" t="str">
        <f>DATA!G63</f>
        <v>198201122009031006</v>
      </c>
      <c r="E63" s="16" t="str">
        <f>DATA!K63</f>
        <v>III/a</v>
      </c>
      <c r="F63" s="159" t="str">
        <f>DATA!L63</f>
        <v>01/03/2011</v>
      </c>
      <c r="G63" s="17" t="str">
        <f>DATA!C63</f>
        <v>Batu,12-01-1982</v>
      </c>
      <c r="H63" s="160" t="str">
        <f>DATA!AE63</f>
        <v>01/02/2042</v>
      </c>
      <c r="I63" s="160"/>
    </row>
    <row r="64" spans="1:9" s="3" customFormat="1" ht="18.75" customHeight="1" x14ac:dyDescent="0.25">
      <c r="A64" s="16">
        <v>58</v>
      </c>
      <c r="B64" s="13" t="str">
        <f>DATA!B64</f>
        <v>Indah Herawati, S.Si</v>
      </c>
      <c r="C64" s="18" t="str">
        <f>DATA!D64</f>
        <v>P</v>
      </c>
      <c r="D64" s="16" t="str">
        <f>DATA!G64</f>
        <v>198004302010012006</v>
      </c>
      <c r="E64" s="16" t="str">
        <f>DATA!K64</f>
        <v>III/a</v>
      </c>
      <c r="F64" s="159" t="str">
        <f>DATA!L64</f>
        <v>01/01/2012</v>
      </c>
      <c r="G64" s="17" t="str">
        <f>DATA!C64</f>
        <v>Batu-Malang, 30-04-1980</v>
      </c>
      <c r="H64" s="160" t="str">
        <f>DATA!AE64</f>
        <v>01/05/2040</v>
      </c>
      <c r="I64" s="160"/>
    </row>
    <row r="65" spans="1:9" s="3" customFormat="1" ht="18.75" customHeight="1" x14ac:dyDescent="0.25">
      <c r="A65" s="16">
        <v>59</v>
      </c>
      <c r="B65" s="13" t="str">
        <f>DATA!B65</f>
        <v>Eko Prayudi, Lc</v>
      </c>
      <c r="C65" s="18" t="str">
        <f>DATA!D65</f>
        <v>L</v>
      </c>
      <c r="D65" s="16" t="str">
        <f>DATA!G65</f>
        <v>197812092011011007</v>
      </c>
      <c r="E65" s="16" t="str">
        <f>DATA!K65</f>
        <v>III/a</v>
      </c>
      <c r="F65" s="159" t="str">
        <f>DATA!L65</f>
        <v>01/01/2013</v>
      </c>
      <c r="G65" s="17" t="str">
        <f>DATA!C65</f>
        <v>Ponorogo, 09-12-1978</v>
      </c>
      <c r="H65" s="160" t="str">
        <f>DATA!AE65</f>
        <v>01/01/2039</v>
      </c>
      <c r="I65" s="160"/>
    </row>
    <row r="66" spans="1:9" s="3" customFormat="1" ht="18.75" customHeight="1" x14ac:dyDescent="0.25">
      <c r="A66" s="16"/>
      <c r="B66" s="13"/>
      <c r="C66" s="18"/>
      <c r="D66" s="16"/>
      <c r="E66" s="16"/>
      <c r="F66" s="159"/>
      <c r="G66" s="17"/>
      <c r="H66" s="160"/>
      <c r="I66" s="160"/>
    </row>
    <row r="67" spans="1:9" s="3" customFormat="1" ht="18.75" customHeight="1" x14ac:dyDescent="0.25">
      <c r="A67" s="16"/>
      <c r="B67" s="13"/>
      <c r="C67" s="18"/>
      <c r="D67" s="16"/>
      <c r="E67" s="16"/>
      <c r="F67" s="162"/>
      <c r="G67" s="17"/>
      <c r="H67" s="160"/>
      <c r="I67" s="160"/>
    </row>
    <row r="68" spans="1:9" s="3" customFormat="1" ht="18.75" customHeight="1" x14ac:dyDescent="0.25">
      <c r="A68" s="16"/>
      <c r="B68" s="13"/>
      <c r="C68" s="18"/>
      <c r="D68" s="16"/>
      <c r="E68" s="16"/>
      <c r="F68" s="162"/>
      <c r="G68" s="17"/>
      <c r="H68" s="160"/>
      <c r="I68" s="160"/>
    </row>
    <row r="69" spans="1:9" s="3" customFormat="1" ht="18.75" customHeight="1" x14ac:dyDescent="0.25">
      <c r="A69" s="16"/>
      <c r="B69" s="13"/>
      <c r="C69" s="18"/>
      <c r="D69" s="16"/>
      <c r="E69" s="16"/>
      <c r="F69" s="162"/>
      <c r="G69" s="17"/>
      <c r="H69" s="160"/>
      <c r="I69" s="160"/>
    </row>
    <row r="70" spans="1:9" s="3" customFormat="1" ht="18.75" customHeight="1" x14ac:dyDescent="0.25">
      <c r="A70" s="16"/>
      <c r="B70" s="13"/>
      <c r="C70" s="18"/>
      <c r="D70" s="16"/>
      <c r="E70" s="16"/>
      <c r="F70" s="162"/>
      <c r="G70" s="17"/>
      <c r="H70" s="160"/>
      <c r="I70" s="160"/>
    </row>
    <row r="71" spans="1:9" s="3" customFormat="1" ht="18.75" customHeight="1" x14ac:dyDescent="0.25">
      <c r="A71" s="16"/>
      <c r="B71" s="13"/>
      <c r="C71" s="18"/>
      <c r="D71" s="16"/>
      <c r="E71" s="16"/>
      <c r="F71" s="162"/>
      <c r="G71" s="17"/>
      <c r="H71" s="160"/>
      <c r="I71" s="160"/>
    </row>
    <row r="72" spans="1:9" x14ac:dyDescent="0.25">
      <c r="A72" s="163"/>
      <c r="B72" s="164"/>
      <c r="C72" s="164"/>
      <c r="D72" s="164"/>
      <c r="E72" s="164"/>
      <c r="F72" s="165"/>
      <c r="G72" s="166"/>
      <c r="H72" s="165"/>
    </row>
    <row r="73" spans="1:9" ht="15.6" x14ac:dyDescent="0.3">
      <c r="A73" s="325" t="s">
        <v>2030</v>
      </c>
      <c r="B73" s="325"/>
      <c r="C73" s="325"/>
      <c r="D73" s="325"/>
      <c r="E73" s="325"/>
      <c r="F73" s="325"/>
      <c r="G73" s="325"/>
      <c r="H73" s="325"/>
    </row>
    <row r="74" spans="1:9" s="3" customFormat="1" ht="21" customHeight="1" x14ac:dyDescent="0.25">
      <c r="A74" s="301" t="s">
        <v>3</v>
      </c>
      <c r="B74" s="301" t="s">
        <v>4</v>
      </c>
      <c r="C74" s="300" t="s">
        <v>6</v>
      </c>
      <c r="D74" s="301" t="s">
        <v>8</v>
      </c>
      <c r="E74" s="301" t="s">
        <v>10</v>
      </c>
      <c r="F74" s="301"/>
      <c r="G74" s="301" t="s">
        <v>1981</v>
      </c>
      <c r="H74" s="301" t="s">
        <v>2028</v>
      </c>
      <c r="I74" s="304" t="s">
        <v>2029</v>
      </c>
    </row>
    <row r="75" spans="1:9" s="3" customFormat="1" ht="21" customHeight="1" x14ac:dyDescent="0.25">
      <c r="A75" s="301"/>
      <c r="B75" s="301"/>
      <c r="C75" s="300"/>
      <c r="D75" s="301"/>
      <c r="E75" s="7" t="s">
        <v>58</v>
      </c>
      <c r="F75" s="158" t="s">
        <v>1982</v>
      </c>
      <c r="G75" s="301"/>
      <c r="H75" s="301"/>
      <c r="I75" s="304"/>
    </row>
    <row r="76" spans="1:9" ht="18" customHeight="1" x14ac:dyDescent="0.25">
      <c r="A76" s="16">
        <v>1</v>
      </c>
      <c r="B76" s="13" t="str">
        <f>DATA!B85</f>
        <v>Fera Irawati, S.Pd.</v>
      </c>
      <c r="C76" s="16" t="str">
        <f>DATA!D85</f>
        <v>P</v>
      </c>
      <c r="D76" s="16" t="str">
        <f>DATA!G85</f>
        <v>198102232005012006</v>
      </c>
      <c r="E76" s="16" t="str">
        <f>DATA!K85</f>
        <v>III/d</v>
      </c>
      <c r="F76" s="160" t="str">
        <f>DATA!L85</f>
        <v>01/10/2017</v>
      </c>
      <c r="G76" s="167" t="str">
        <f>DATA!C85</f>
        <v>Malang, 23-02-1981</v>
      </c>
      <c r="H76" s="168" t="str">
        <f>DATA!AE85</f>
        <v>01/03/2039</v>
      </c>
      <c r="I76" s="168"/>
    </row>
    <row r="77" spans="1:9" ht="18" customHeight="1" x14ac:dyDescent="0.25">
      <c r="A77" s="16">
        <v>2</v>
      </c>
      <c r="B77" s="13" t="str">
        <f>DATA!B86</f>
        <v>Sri Mulyati, A.Md.Pd</v>
      </c>
      <c r="C77" s="16" t="str">
        <f>DATA!D86</f>
        <v>P</v>
      </c>
      <c r="D77" s="16" t="str">
        <f>DATA!G86</f>
        <v>196409142008012004</v>
      </c>
      <c r="E77" s="16" t="str">
        <f>DATA!K86</f>
        <v>III/a</v>
      </c>
      <c r="F77" s="160" t="str">
        <f>DATA!L86</f>
        <v>01/10/2016</v>
      </c>
      <c r="G77" s="167" t="str">
        <f>DATA!C86</f>
        <v>Malang, 14-09-1964</v>
      </c>
      <c r="H77" s="168" t="str">
        <f>DATA!AE86</f>
        <v>01/10/2022</v>
      </c>
      <c r="I77" s="168"/>
    </row>
    <row r="78" spans="1:9" ht="18" customHeight="1" x14ac:dyDescent="0.25">
      <c r="A78" s="16">
        <v>3</v>
      </c>
      <c r="B78" s="13" t="str">
        <f>DATA!B87</f>
        <v>Hasdian Lestyarini, A.Md</v>
      </c>
      <c r="C78" s="16" t="str">
        <f>DATA!D87</f>
        <v>P</v>
      </c>
      <c r="D78" s="16" t="str">
        <f>DATA!G87</f>
        <v>196809142010012001</v>
      </c>
      <c r="E78" s="16" t="str">
        <f>DATA!K87</f>
        <v>III/a</v>
      </c>
      <c r="F78" s="160" t="str">
        <f>DATA!L87</f>
        <v>01/04/2018</v>
      </c>
      <c r="G78" s="167" t="str">
        <f>DATA!C87</f>
        <v>Banyuwangi, 14-09-1968</v>
      </c>
      <c r="H78" s="168" t="str">
        <f>DATA!AE87</f>
        <v>01/10/2026</v>
      </c>
      <c r="I78" s="168"/>
    </row>
    <row r="79" spans="1:9" ht="18" customHeight="1" x14ac:dyDescent="0.25">
      <c r="A79" s="16">
        <v>4</v>
      </c>
      <c r="B79" s="13" t="str">
        <f>DATA!B88</f>
        <v>Yanto, S.Mat.</v>
      </c>
      <c r="C79" s="16" t="str">
        <f>DATA!D88</f>
        <v>L</v>
      </c>
      <c r="D79" s="16" t="str">
        <f>DATA!G88</f>
        <v>198510302006041010</v>
      </c>
      <c r="E79" s="16" t="str">
        <f>DATA!K88</f>
        <v>II/d</v>
      </c>
      <c r="F79" s="160" t="str">
        <f>DATA!L88</f>
        <v>01/04/2018</v>
      </c>
      <c r="G79" s="167" t="str">
        <f>DATA!C88</f>
        <v>Malang, 30-10-1985</v>
      </c>
      <c r="H79" s="168" t="str">
        <f>DATA!AE88</f>
        <v>01/11/2043</v>
      </c>
      <c r="I79" s="168"/>
    </row>
    <row r="80" spans="1:9" ht="18" customHeight="1" x14ac:dyDescent="0.25">
      <c r="A80" s="16">
        <v>5</v>
      </c>
      <c r="B80" s="13" t="str">
        <f>DATA!B89</f>
        <v>Mohamad Tamtowi, S.E.</v>
      </c>
      <c r="C80" s="16" t="str">
        <f>DATA!D89</f>
        <v>L</v>
      </c>
      <c r="D80" s="16" t="str">
        <f>DATA!G89</f>
        <v>196609222010011001</v>
      </c>
      <c r="E80" s="16" t="str">
        <f>DATA!K89</f>
        <v>II/c</v>
      </c>
      <c r="F80" s="160" t="str">
        <f>DATA!L89</f>
        <v>01/04/2018</v>
      </c>
      <c r="G80" s="167" t="str">
        <f>DATA!C89</f>
        <v>Malang, 22-09-1966</v>
      </c>
      <c r="H80" s="168" t="str">
        <f>DATA!AE89</f>
        <v>01/10/2024</v>
      </c>
      <c r="I80" s="168"/>
    </row>
    <row r="81" spans="1:9" ht="18" customHeight="1" x14ac:dyDescent="0.25">
      <c r="A81" s="16">
        <v>6</v>
      </c>
      <c r="B81" s="13" t="str">
        <f>DATA!B90</f>
        <v>Muhaimin, S.E.</v>
      </c>
      <c r="C81" s="16" t="str">
        <f>DATA!D90</f>
        <v>L</v>
      </c>
      <c r="D81" s="16" t="str">
        <f>DATA!G90</f>
        <v>197810102009031002</v>
      </c>
      <c r="E81" s="16" t="str">
        <f>DATA!K90</f>
        <v>II/c</v>
      </c>
      <c r="F81" s="160" t="str">
        <f>DATA!L90</f>
        <v>01/04/2018</v>
      </c>
      <c r="G81" s="167" t="str">
        <f>DATA!C90</f>
        <v>Malang, 10-10-1978</v>
      </c>
      <c r="H81" s="168" t="str">
        <f>DATA!AE90</f>
        <v>01/11/2036</v>
      </c>
      <c r="I81" s="168"/>
    </row>
    <row r="82" spans="1:9" ht="18" customHeight="1" x14ac:dyDescent="0.25">
      <c r="A82" s="16">
        <v>7</v>
      </c>
      <c r="B82" s="13" t="str">
        <f>DATA!B91</f>
        <v>Sholikhin</v>
      </c>
      <c r="C82" s="16" t="str">
        <f>DATA!D91</f>
        <v>L</v>
      </c>
      <c r="D82" s="16" t="str">
        <f>DATA!G91</f>
        <v>196605242010011002</v>
      </c>
      <c r="E82" s="16" t="str">
        <f>DATA!K91</f>
        <v>II/c</v>
      </c>
      <c r="F82" s="160" t="str">
        <f>DATA!L91</f>
        <v>01/04/2018</v>
      </c>
      <c r="G82" s="167" t="str">
        <f>DATA!C91</f>
        <v>Malang, 24-05-1966</v>
      </c>
      <c r="H82" s="168" t="str">
        <f>DATA!AE91</f>
        <v>01/06/2024</v>
      </c>
      <c r="I82" s="168"/>
    </row>
    <row r="83" spans="1:9" ht="18" customHeight="1" x14ac:dyDescent="0.25">
      <c r="A83" s="16">
        <v>8</v>
      </c>
      <c r="B83" s="13" t="str">
        <f>DATA!B92</f>
        <v>Rositha Chaironi</v>
      </c>
      <c r="C83" s="16" t="str">
        <f>DATA!D92</f>
        <v>P</v>
      </c>
      <c r="D83" s="16" t="str">
        <f>DATA!G92</f>
        <v>197107212010012001</v>
      </c>
      <c r="E83" s="16" t="str">
        <f>DATA!K92</f>
        <v>II/c</v>
      </c>
      <c r="F83" s="160" t="str">
        <f>DATA!L92</f>
        <v>01/04/2018</v>
      </c>
      <c r="G83" s="167" t="str">
        <f>DATA!C92</f>
        <v>Batu, 21-07-1971</v>
      </c>
      <c r="H83" s="168" t="str">
        <f>DATA!AE92</f>
        <v>01/08/2029</v>
      </c>
      <c r="I83" s="168"/>
    </row>
    <row r="84" spans="1:9" ht="18" customHeight="1" x14ac:dyDescent="0.25">
      <c r="A84" s="16">
        <v>9</v>
      </c>
      <c r="B84" s="13" t="str">
        <f>DATA!B93</f>
        <v>Sulisno, A.Md</v>
      </c>
      <c r="C84" s="16" t="str">
        <f>DATA!D93</f>
        <v>L</v>
      </c>
      <c r="D84" s="16" t="str">
        <f>DATA!G93</f>
        <v>197901102014121001</v>
      </c>
      <c r="E84" s="16" t="str">
        <f>DATA!K93</f>
        <v>II/b</v>
      </c>
      <c r="F84" s="160" t="str">
        <f>DATA!L93</f>
        <v>01/03/2019</v>
      </c>
      <c r="G84" s="167" t="str">
        <f>DATA!C93</f>
        <v>Malang, 01-10-1979</v>
      </c>
      <c r="H84" s="168" t="str">
        <f>DATA!AE93</f>
        <v>01/11/2037</v>
      </c>
      <c r="I84" s="168"/>
    </row>
    <row r="85" spans="1:9" ht="18" customHeight="1" x14ac:dyDescent="0.25">
      <c r="A85" s="16">
        <v>10</v>
      </c>
      <c r="B85" s="13" t="str">
        <f>DATA!B94</f>
        <v>Andrias Budi Widodo</v>
      </c>
      <c r="C85" s="16" t="str">
        <f>DATA!D94</f>
        <v>L</v>
      </c>
      <c r="D85" s="16" t="str">
        <f>DATA!G94</f>
        <v>198109162014121001</v>
      </c>
      <c r="E85" s="16" t="str">
        <f>DATA!K94</f>
        <v>II/b</v>
      </c>
      <c r="F85" s="160" t="str">
        <f>DATA!L94</f>
        <v>01/03/2019</v>
      </c>
      <c r="G85" s="167" t="str">
        <f>DATA!C94</f>
        <v>Malang, 16-09-1981</v>
      </c>
      <c r="H85" s="168" t="str">
        <f>DATA!AE94</f>
        <v>01/10/2039</v>
      </c>
      <c r="I85" s="168"/>
    </row>
    <row r="86" spans="1:9" ht="18" customHeight="1" x14ac:dyDescent="0.25">
      <c r="A86" s="16">
        <v>11</v>
      </c>
      <c r="B86" s="13" t="str">
        <f>DATA!B95</f>
        <v>Heri Kristiawan</v>
      </c>
      <c r="C86" s="16" t="str">
        <f>DATA!D95</f>
        <v>L</v>
      </c>
      <c r="D86" s="16" t="str">
        <f>DATA!G95</f>
        <v>196711102008011020</v>
      </c>
      <c r="E86" s="16" t="str">
        <f>DATA!K95</f>
        <v>II/b</v>
      </c>
      <c r="F86" s="160" t="str">
        <f>DATA!L95</f>
        <v>01/04/2020</v>
      </c>
      <c r="G86" s="167" t="str">
        <f>DATA!C95</f>
        <v>Malang, 10-11-1967</v>
      </c>
      <c r="H86" s="168" t="str">
        <f>DATA!AE95</f>
        <v>01/12/2025</v>
      </c>
      <c r="I86" s="168"/>
    </row>
    <row r="88" spans="1:9" x14ac:dyDescent="0.25">
      <c r="G88" s="141" t="s">
        <v>2031</v>
      </c>
    </row>
    <row r="89" spans="1:9" x14ac:dyDescent="0.25">
      <c r="G89" s="141" t="s">
        <v>2032</v>
      </c>
    </row>
    <row r="93" spans="1:9" x14ac:dyDescent="0.25">
      <c r="G93" s="141" t="s">
        <v>2033</v>
      </c>
    </row>
    <row r="94" spans="1:9" x14ac:dyDescent="0.25">
      <c r="G94" s="141" t="s">
        <v>2034</v>
      </c>
    </row>
    <row r="95" spans="1:9" ht="22.8" x14ac:dyDescent="0.25">
      <c r="A95" s="323" t="s">
        <v>2024</v>
      </c>
      <c r="B95" s="323"/>
      <c r="C95" s="323"/>
      <c r="D95" s="323"/>
      <c r="E95" s="323"/>
      <c r="F95" s="323"/>
      <c r="G95" s="323"/>
      <c r="H95" s="323"/>
      <c r="I95" s="323"/>
    </row>
    <row r="96" spans="1:9" ht="22.8" x14ac:dyDescent="0.25">
      <c r="A96" s="323" t="s">
        <v>2025</v>
      </c>
      <c r="B96" s="323"/>
      <c r="C96" s="323"/>
      <c r="D96" s="323"/>
      <c r="E96" s="323"/>
      <c r="F96" s="323"/>
      <c r="G96" s="323"/>
      <c r="H96" s="323"/>
      <c r="I96" s="323"/>
    </row>
    <row r="97" spans="1:9" ht="22.8" x14ac:dyDescent="0.25">
      <c r="A97" s="323" t="s">
        <v>2035</v>
      </c>
      <c r="B97" s="323"/>
      <c r="C97" s="323"/>
      <c r="D97" s="323"/>
      <c r="E97" s="323"/>
      <c r="F97" s="323"/>
      <c r="G97" s="323"/>
      <c r="H97" s="323"/>
      <c r="I97" s="323"/>
    </row>
    <row r="98" spans="1:9" x14ac:dyDescent="0.25">
      <c r="A98" s="3"/>
      <c r="B98" s="3"/>
      <c r="C98" s="3"/>
      <c r="D98" s="3"/>
      <c r="E98" s="3"/>
      <c r="F98" s="138"/>
      <c r="G98" s="4"/>
      <c r="H98" s="138"/>
      <c r="I98" s="3"/>
    </row>
    <row r="99" spans="1:9" ht="15.6" x14ac:dyDescent="0.25">
      <c r="A99" s="324" t="s">
        <v>2027</v>
      </c>
      <c r="B99" s="324"/>
      <c r="C99" s="324"/>
      <c r="D99" s="324"/>
      <c r="E99" s="324"/>
      <c r="F99" s="324"/>
      <c r="G99" s="324"/>
      <c r="H99" s="324"/>
      <c r="I99" s="324"/>
    </row>
    <row r="100" spans="1:9" x14ac:dyDescent="0.25">
      <c r="A100" s="301" t="s">
        <v>3</v>
      </c>
      <c r="B100" s="301" t="s">
        <v>4</v>
      </c>
      <c r="C100" s="300" t="s">
        <v>6</v>
      </c>
      <c r="D100" s="301" t="s">
        <v>8</v>
      </c>
      <c r="E100" s="301" t="s">
        <v>10</v>
      </c>
      <c r="F100" s="301"/>
      <c r="G100" s="301" t="s">
        <v>1981</v>
      </c>
      <c r="H100" s="301" t="s">
        <v>2028</v>
      </c>
      <c r="I100" s="304" t="s">
        <v>2029</v>
      </c>
    </row>
    <row r="101" spans="1:9" x14ac:dyDescent="0.25">
      <c r="A101" s="301"/>
      <c r="B101" s="301"/>
      <c r="C101" s="300"/>
      <c r="D101" s="301"/>
      <c r="E101" s="7" t="s">
        <v>58</v>
      </c>
      <c r="F101" s="158" t="s">
        <v>1982</v>
      </c>
      <c r="G101" s="301"/>
      <c r="H101" s="301"/>
      <c r="I101" s="304"/>
    </row>
    <row r="102" spans="1:9" x14ac:dyDescent="0.25">
      <c r="A102" s="52">
        <v>1</v>
      </c>
      <c r="B102" s="33" t="s">
        <v>251</v>
      </c>
      <c r="C102" s="33" t="s">
        <v>69</v>
      </c>
      <c r="D102" s="33" t="s">
        <v>253</v>
      </c>
      <c r="E102" s="33" t="s">
        <v>226</v>
      </c>
      <c r="F102" s="170" t="s">
        <v>255</v>
      </c>
      <c r="G102" s="62" t="s">
        <v>252</v>
      </c>
      <c r="H102" s="170" t="s">
        <v>260</v>
      </c>
      <c r="I102" s="33"/>
    </row>
    <row r="103" spans="1:9" x14ac:dyDescent="0.25">
      <c r="A103" s="52">
        <v>2</v>
      </c>
      <c r="B103" s="33" t="s">
        <v>333</v>
      </c>
      <c r="C103" s="33" t="s">
        <v>70</v>
      </c>
      <c r="D103" s="33" t="s">
        <v>335</v>
      </c>
      <c r="E103" s="33" t="s">
        <v>226</v>
      </c>
      <c r="F103" s="170" t="s">
        <v>337</v>
      </c>
      <c r="G103" s="62" t="s">
        <v>334</v>
      </c>
      <c r="H103" s="170" t="s">
        <v>341</v>
      </c>
      <c r="I103" s="33"/>
    </row>
    <row r="104" spans="1:9" x14ac:dyDescent="0.25">
      <c r="A104" s="52">
        <v>3</v>
      </c>
      <c r="B104" s="33" t="s">
        <v>426</v>
      </c>
      <c r="C104" s="33" t="s">
        <v>69</v>
      </c>
      <c r="D104" s="33" t="s">
        <v>428</v>
      </c>
      <c r="E104" s="33" t="s">
        <v>226</v>
      </c>
      <c r="F104" s="170" t="s">
        <v>430</v>
      </c>
      <c r="G104" s="62" t="s">
        <v>427</v>
      </c>
      <c r="H104" s="170" t="s">
        <v>434</v>
      </c>
      <c r="I104" s="33"/>
    </row>
    <row r="105" spans="1:9" x14ac:dyDescent="0.25">
      <c r="A105" s="52">
        <v>4</v>
      </c>
      <c r="B105" s="33" t="s">
        <v>547</v>
      </c>
      <c r="C105" s="33" t="s">
        <v>69</v>
      </c>
      <c r="D105" s="33" t="s">
        <v>549</v>
      </c>
      <c r="E105" s="33" t="s">
        <v>226</v>
      </c>
      <c r="F105" s="170" t="s">
        <v>551</v>
      </c>
      <c r="G105" s="62" t="s">
        <v>548</v>
      </c>
      <c r="H105" s="170" t="s">
        <v>553</v>
      </c>
      <c r="I105" s="33"/>
    </row>
    <row r="106" spans="1:9" x14ac:dyDescent="0.25">
      <c r="A106" s="52">
        <v>5</v>
      </c>
      <c r="B106" s="33" t="s">
        <v>1215</v>
      </c>
      <c r="C106" s="33" t="s">
        <v>69</v>
      </c>
      <c r="D106" s="33" t="s">
        <v>1217</v>
      </c>
      <c r="E106" s="33" t="s">
        <v>1060</v>
      </c>
      <c r="F106" s="170" t="s">
        <v>1081</v>
      </c>
      <c r="G106" s="62" t="s">
        <v>1216</v>
      </c>
      <c r="H106" s="170" t="s">
        <v>1220</v>
      </c>
      <c r="I106" s="33"/>
    </row>
    <row r="107" spans="1:9" x14ac:dyDescent="0.25">
      <c r="A107" s="52">
        <v>6</v>
      </c>
      <c r="B107" s="33" t="s">
        <v>643</v>
      </c>
      <c r="C107" s="33" t="s">
        <v>70</v>
      </c>
      <c r="D107" s="33" t="s">
        <v>645</v>
      </c>
      <c r="E107" s="33" t="s">
        <v>226</v>
      </c>
      <c r="F107" s="170" t="s">
        <v>647</v>
      </c>
      <c r="G107" s="62" t="s">
        <v>644</v>
      </c>
      <c r="H107" s="170" t="s">
        <v>651</v>
      </c>
      <c r="I107" s="33"/>
    </row>
    <row r="108" spans="1:9" x14ac:dyDescent="0.25">
      <c r="A108" s="52">
        <v>7</v>
      </c>
      <c r="B108" s="33" t="s">
        <v>385</v>
      </c>
      <c r="C108" s="33" t="s">
        <v>70</v>
      </c>
      <c r="D108" s="33" t="s">
        <v>387</v>
      </c>
      <c r="E108" s="33" t="s">
        <v>226</v>
      </c>
      <c r="F108" s="170" t="s">
        <v>287</v>
      </c>
      <c r="G108" s="62" t="s">
        <v>386</v>
      </c>
      <c r="H108" s="170" t="s">
        <v>390</v>
      </c>
      <c r="I108" s="33"/>
    </row>
    <row r="109" spans="1:9" x14ac:dyDescent="0.25">
      <c r="A109" s="52">
        <v>8</v>
      </c>
      <c r="B109" s="33" t="s">
        <v>133</v>
      </c>
      <c r="C109" s="33" t="s">
        <v>70</v>
      </c>
      <c r="D109" s="33" t="s">
        <v>135</v>
      </c>
      <c r="E109" s="33" t="s">
        <v>84</v>
      </c>
      <c r="F109" s="170" t="s">
        <v>137</v>
      </c>
      <c r="G109" s="62" t="s">
        <v>134</v>
      </c>
      <c r="H109" s="170" t="s">
        <v>140</v>
      </c>
      <c r="I109" s="33"/>
    </row>
    <row r="110" spans="1:9" x14ac:dyDescent="0.25">
      <c r="A110" s="52">
        <v>9</v>
      </c>
      <c r="B110" s="33" t="s">
        <v>310</v>
      </c>
      <c r="C110" s="33" t="s">
        <v>70</v>
      </c>
      <c r="D110" s="33" t="s">
        <v>312</v>
      </c>
      <c r="E110" s="33" t="s">
        <v>226</v>
      </c>
      <c r="F110" s="170" t="s">
        <v>287</v>
      </c>
      <c r="G110" s="62" t="s">
        <v>311</v>
      </c>
      <c r="H110" s="170" t="s">
        <v>316</v>
      </c>
      <c r="I110" s="33"/>
    </row>
    <row r="111" spans="1:9" x14ac:dyDescent="0.25">
      <c r="A111" s="52">
        <v>10</v>
      </c>
      <c r="B111" s="33" t="s">
        <v>1103</v>
      </c>
      <c r="C111" s="33" t="s">
        <v>69</v>
      </c>
      <c r="D111" s="33" t="s">
        <v>1105</v>
      </c>
      <c r="E111" s="33" t="s">
        <v>1060</v>
      </c>
      <c r="F111" s="170" t="s">
        <v>1081</v>
      </c>
      <c r="G111" s="62" t="s">
        <v>1104</v>
      </c>
      <c r="H111" s="170" t="s">
        <v>1108</v>
      </c>
      <c r="I111" s="33"/>
    </row>
    <row r="112" spans="1:9" x14ac:dyDescent="0.25">
      <c r="A112" s="52">
        <v>11</v>
      </c>
      <c r="B112" s="33" t="s">
        <v>1318</v>
      </c>
      <c r="C112" s="33" t="s">
        <v>70</v>
      </c>
      <c r="D112" s="33" t="s">
        <v>1320</v>
      </c>
      <c r="E112" s="33" t="s">
        <v>1060</v>
      </c>
      <c r="F112" s="170" t="s">
        <v>1081</v>
      </c>
      <c r="G112" s="62" t="s">
        <v>1319</v>
      </c>
      <c r="H112" s="170" t="s">
        <v>1108</v>
      </c>
      <c r="I112" s="33"/>
    </row>
    <row r="113" spans="1:9" x14ac:dyDescent="0.25">
      <c r="A113" s="52">
        <v>12</v>
      </c>
      <c r="B113" s="33" t="s">
        <v>1077</v>
      </c>
      <c r="C113" s="33" t="s">
        <v>69</v>
      </c>
      <c r="D113" s="33" t="s">
        <v>1079</v>
      </c>
      <c r="E113" s="33" t="s">
        <v>1060</v>
      </c>
      <c r="F113" s="170" t="s">
        <v>1081</v>
      </c>
      <c r="G113" s="62" t="s">
        <v>1078</v>
      </c>
      <c r="H113" s="170" t="s">
        <v>1084</v>
      </c>
      <c r="I113" s="33"/>
    </row>
    <row r="114" spans="1:9" x14ac:dyDescent="0.25">
      <c r="A114" s="52">
        <v>13</v>
      </c>
      <c r="B114" s="33" t="s">
        <v>221</v>
      </c>
      <c r="C114" s="33" t="s">
        <v>70</v>
      </c>
      <c r="D114" s="33" t="s">
        <v>223</v>
      </c>
      <c r="E114" s="33" t="s">
        <v>226</v>
      </c>
      <c r="F114" s="170" t="s">
        <v>227</v>
      </c>
      <c r="G114" s="62" t="s">
        <v>222</v>
      </c>
      <c r="H114" s="170" t="s">
        <v>231</v>
      </c>
      <c r="I114" s="33"/>
    </row>
    <row r="115" spans="1:9" x14ac:dyDescent="0.25">
      <c r="A115" s="52">
        <v>14</v>
      </c>
      <c r="B115" s="33" t="s">
        <v>190</v>
      </c>
      <c r="C115" s="33" t="s">
        <v>69</v>
      </c>
      <c r="D115" s="33" t="s">
        <v>192</v>
      </c>
      <c r="E115" s="33" t="s">
        <v>84</v>
      </c>
      <c r="F115" s="170" t="s">
        <v>194</v>
      </c>
      <c r="G115" s="62" t="s">
        <v>191</v>
      </c>
      <c r="H115" s="170" t="s">
        <v>198</v>
      </c>
      <c r="I115" s="33"/>
    </row>
    <row r="116" spans="1:9" x14ac:dyDescent="0.25">
      <c r="A116" s="52">
        <v>15</v>
      </c>
      <c r="B116" s="33" t="s">
        <v>927</v>
      </c>
      <c r="C116" s="33" t="s">
        <v>69</v>
      </c>
      <c r="D116" s="33" t="s">
        <v>929</v>
      </c>
      <c r="E116" s="33" t="s">
        <v>906</v>
      </c>
      <c r="F116" s="170" t="s">
        <v>852</v>
      </c>
      <c r="G116" s="62" t="s">
        <v>928</v>
      </c>
      <c r="H116" s="170" t="s">
        <v>933</v>
      </c>
      <c r="I116" s="33"/>
    </row>
    <row r="117" spans="1:9" x14ac:dyDescent="0.25">
      <c r="A117" s="52">
        <v>16</v>
      </c>
      <c r="B117" s="33" t="s">
        <v>1126</v>
      </c>
      <c r="C117" s="33" t="s">
        <v>70</v>
      </c>
      <c r="D117" s="33" t="s">
        <v>1128</v>
      </c>
      <c r="E117" s="33" t="s">
        <v>1060</v>
      </c>
      <c r="F117" s="170" t="s">
        <v>647</v>
      </c>
      <c r="G117" s="62" t="s">
        <v>1127</v>
      </c>
      <c r="H117" s="170" t="s">
        <v>759</v>
      </c>
      <c r="I117" s="33"/>
    </row>
    <row r="118" spans="1:9" x14ac:dyDescent="0.25">
      <c r="A118" s="52">
        <v>17</v>
      </c>
      <c r="B118" s="33" t="s">
        <v>753</v>
      </c>
      <c r="C118" s="33" t="s">
        <v>69</v>
      </c>
      <c r="D118" s="33" t="s">
        <v>755</v>
      </c>
      <c r="E118" s="33" t="s">
        <v>698</v>
      </c>
      <c r="F118" s="170" t="s">
        <v>98</v>
      </c>
      <c r="G118" s="62" t="s">
        <v>754</v>
      </c>
      <c r="H118" s="170" t="s">
        <v>759</v>
      </c>
      <c r="I118" s="33"/>
    </row>
    <row r="119" spans="1:9" x14ac:dyDescent="0.25">
      <c r="A119" s="52">
        <v>18</v>
      </c>
      <c r="B119" s="33" t="s">
        <v>477</v>
      </c>
      <c r="C119" s="33" t="s">
        <v>69</v>
      </c>
      <c r="D119" s="33" t="s">
        <v>479</v>
      </c>
      <c r="E119" s="33" t="s">
        <v>226</v>
      </c>
      <c r="F119" s="170" t="s">
        <v>481</v>
      </c>
      <c r="G119" s="62" t="s">
        <v>478</v>
      </c>
      <c r="H119" s="170" t="s">
        <v>484</v>
      </c>
      <c r="I119" s="33"/>
    </row>
    <row r="120" spans="1:9" x14ac:dyDescent="0.25">
      <c r="A120" s="52">
        <v>19</v>
      </c>
      <c r="B120" s="33" t="s">
        <v>801</v>
      </c>
      <c r="C120" s="33" t="s">
        <v>69</v>
      </c>
      <c r="D120" s="33" t="s">
        <v>803</v>
      </c>
      <c r="E120" s="33" t="s">
        <v>698</v>
      </c>
      <c r="F120" s="170" t="s">
        <v>647</v>
      </c>
      <c r="G120" s="62" t="s">
        <v>802</v>
      </c>
      <c r="H120" s="170" t="s">
        <v>484</v>
      </c>
      <c r="I120" s="33"/>
    </row>
    <row r="121" spans="1:9" x14ac:dyDescent="0.25">
      <c r="A121" s="52">
        <v>20</v>
      </c>
      <c r="B121" s="33" t="s">
        <v>405</v>
      </c>
      <c r="C121" s="33" t="s">
        <v>70</v>
      </c>
      <c r="D121" s="33" t="s">
        <v>407</v>
      </c>
      <c r="E121" s="33" t="s">
        <v>226</v>
      </c>
      <c r="F121" s="170" t="s">
        <v>255</v>
      </c>
      <c r="G121" s="62" t="s">
        <v>406</v>
      </c>
      <c r="H121" s="170" t="s">
        <v>410</v>
      </c>
      <c r="I121" s="33"/>
    </row>
    <row r="122" spans="1:9" x14ac:dyDescent="0.25">
      <c r="A122" s="52">
        <v>21</v>
      </c>
      <c r="B122" s="33" t="s">
        <v>162</v>
      </c>
      <c r="C122" s="33" t="s">
        <v>70</v>
      </c>
      <c r="D122" s="33" t="s">
        <v>164</v>
      </c>
      <c r="E122" s="33" t="s">
        <v>84</v>
      </c>
      <c r="F122" s="170" t="s">
        <v>166</v>
      </c>
      <c r="G122" s="62" t="s">
        <v>163</v>
      </c>
      <c r="H122" s="170" t="s">
        <v>170</v>
      </c>
      <c r="I122" s="33"/>
    </row>
    <row r="123" spans="1:9" x14ac:dyDescent="0.25">
      <c r="A123" s="52">
        <v>22</v>
      </c>
      <c r="B123" s="33" t="s">
        <v>452</v>
      </c>
      <c r="C123" s="33" t="s">
        <v>69</v>
      </c>
      <c r="D123" s="33" t="s">
        <v>454</v>
      </c>
      <c r="E123" s="33" t="s">
        <v>226</v>
      </c>
      <c r="F123" s="170" t="s">
        <v>456</v>
      </c>
      <c r="G123" s="62" t="s">
        <v>453</v>
      </c>
      <c r="H123" s="170" t="s">
        <v>170</v>
      </c>
      <c r="I123" s="33"/>
    </row>
    <row r="124" spans="1:9" x14ac:dyDescent="0.25">
      <c r="A124" s="52">
        <v>23</v>
      </c>
      <c r="B124" s="33" t="s">
        <v>619</v>
      </c>
      <c r="C124" s="33" t="s">
        <v>70</v>
      </c>
      <c r="D124" s="33" t="s">
        <v>621</v>
      </c>
      <c r="E124" s="33" t="s">
        <v>226</v>
      </c>
      <c r="F124" s="170" t="s">
        <v>551</v>
      </c>
      <c r="G124" s="62" t="s">
        <v>620</v>
      </c>
      <c r="H124" s="170" t="s">
        <v>626</v>
      </c>
      <c r="I124" s="33"/>
    </row>
    <row r="125" spans="1:9" x14ac:dyDescent="0.25">
      <c r="A125" s="52">
        <v>24</v>
      </c>
      <c r="B125" s="33" t="s">
        <v>575</v>
      </c>
      <c r="C125" s="33" t="s">
        <v>70</v>
      </c>
      <c r="D125" s="33" t="s">
        <v>577</v>
      </c>
      <c r="E125" s="33" t="s">
        <v>226</v>
      </c>
      <c r="F125" s="170" t="s">
        <v>551</v>
      </c>
      <c r="G125" s="62" t="s">
        <v>576</v>
      </c>
      <c r="H125" s="170" t="s">
        <v>580</v>
      </c>
      <c r="I125" s="33"/>
    </row>
    <row r="126" spans="1:9" x14ac:dyDescent="0.25">
      <c r="A126" s="52">
        <v>25</v>
      </c>
      <c r="B126" s="33" t="s">
        <v>1151</v>
      </c>
      <c r="C126" s="33" t="s">
        <v>70</v>
      </c>
      <c r="D126" s="33" t="s">
        <v>1153</v>
      </c>
      <c r="E126" s="33" t="s">
        <v>1060</v>
      </c>
      <c r="F126" s="170" t="s">
        <v>647</v>
      </c>
      <c r="G126" s="62" t="s">
        <v>1152</v>
      </c>
      <c r="H126" s="170" t="s">
        <v>1156</v>
      </c>
      <c r="I126" s="33"/>
    </row>
    <row r="127" spans="1:9" x14ac:dyDescent="0.25">
      <c r="A127" s="52">
        <v>26</v>
      </c>
      <c r="B127" s="33" t="s">
        <v>2036</v>
      </c>
      <c r="C127" s="33" t="s">
        <v>70</v>
      </c>
      <c r="D127" s="33" t="s">
        <v>2037</v>
      </c>
      <c r="E127" s="33" t="s">
        <v>226</v>
      </c>
      <c r="F127" s="170" t="s">
        <v>430</v>
      </c>
      <c r="G127" s="62" t="s">
        <v>2038</v>
      </c>
      <c r="H127" s="170" t="s">
        <v>1694</v>
      </c>
      <c r="I127" s="33"/>
    </row>
    <row r="128" spans="1:9" x14ac:dyDescent="0.25">
      <c r="A128" s="52">
        <v>27</v>
      </c>
      <c r="B128" s="33" t="s">
        <v>670</v>
      </c>
      <c r="C128" s="33" t="s">
        <v>69</v>
      </c>
      <c r="D128" s="33" t="s">
        <v>672</v>
      </c>
      <c r="E128" s="33" t="s">
        <v>226</v>
      </c>
      <c r="F128" s="170" t="s">
        <v>647</v>
      </c>
      <c r="G128" s="62" t="s">
        <v>671</v>
      </c>
      <c r="H128" s="170" t="s">
        <v>677</v>
      </c>
      <c r="I128" s="33"/>
    </row>
    <row r="129" spans="1:9" x14ac:dyDescent="0.25">
      <c r="A129" s="52">
        <v>28</v>
      </c>
      <c r="B129" s="33" t="s">
        <v>725</v>
      </c>
      <c r="C129" s="33" t="s">
        <v>70</v>
      </c>
      <c r="D129" s="33" t="s">
        <v>727</v>
      </c>
      <c r="E129" s="33" t="s">
        <v>698</v>
      </c>
      <c r="F129" s="170" t="s">
        <v>729</v>
      </c>
      <c r="G129" s="62" t="s">
        <v>726</v>
      </c>
      <c r="H129" s="170" t="s">
        <v>732</v>
      </c>
      <c r="I129" s="33"/>
    </row>
    <row r="130" spans="1:9" x14ac:dyDescent="0.25">
      <c r="A130" s="52">
        <v>29</v>
      </c>
      <c r="B130" s="33" t="s">
        <v>777</v>
      </c>
      <c r="C130" s="33" t="s">
        <v>70</v>
      </c>
      <c r="D130" s="33" t="s">
        <v>779</v>
      </c>
      <c r="E130" s="33" t="s">
        <v>698</v>
      </c>
      <c r="F130" s="170" t="s">
        <v>781</v>
      </c>
      <c r="G130" s="62" t="s">
        <v>778</v>
      </c>
      <c r="H130" s="170" t="s">
        <v>602</v>
      </c>
      <c r="I130" s="33"/>
    </row>
    <row r="131" spans="1:9" x14ac:dyDescent="0.25">
      <c r="A131" s="52">
        <v>30</v>
      </c>
      <c r="B131" s="33" t="s">
        <v>596</v>
      </c>
      <c r="C131" s="33" t="s">
        <v>69</v>
      </c>
      <c r="D131" s="33" t="s">
        <v>598</v>
      </c>
      <c r="E131" s="33" t="s">
        <v>226</v>
      </c>
      <c r="F131" s="170" t="s">
        <v>98</v>
      </c>
      <c r="G131" s="62" t="s">
        <v>597</v>
      </c>
      <c r="H131" s="170" t="s">
        <v>602</v>
      </c>
      <c r="I131" s="33"/>
    </row>
    <row r="132" spans="1:9" x14ac:dyDescent="0.25">
      <c r="A132" s="52">
        <v>31</v>
      </c>
      <c r="B132" s="33" t="s">
        <v>527</v>
      </c>
      <c r="C132" s="33" t="s">
        <v>70</v>
      </c>
      <c r="D132" s="33" t="s">
        <v>529</v>
      </c>
      <c r="E132" s="33" t="s">
        <v>226</v>
      </c>
      <c r="F132" s="170" t="s">
        <v>456</v>
      </c>
      <c r="G132" s="62" t="s">
        <v>528</v>
      </c>
      <c r="H132" s="170" t="s">
        <v>532</v>
      </c>
      <c r="I132" s="33"/>
    </row>
    <row r="133" spans="1:9" x14ac:dyDescent="0.25">
      <c r="A133" s="52">
        <v>32</v>
      </c>
      <c r="B133" s="33" t="s">
        <v>501</v>
      </c>
      <c r="C133" s="33" t="s">
        <v>69</v>
      </c>
      <c r="D133" s="33" t="s">
        <v>503</v>
      </c>
      <c r="E133" s="33" t="s">
        <v>226</v>
      </c>
      <c r="F133" s="170" t="s">
        <v>98</v>
      </c>
      <c r="G133" s="62" t="s">
        <v>502</v>
      </c>
      <c r="H133" s="170" t="s">
        <v>509</v>
      </c>
      <c r="I133" s="33"/>
    </row>
    <row r="134" spans="1:9" x14ac:dyDescent="0.25">
      <c r="A134" s="52">
        <v>33</v>
      </c>
      <c r="B134" s="33" t="s">
        <v>848</v>
      </c>
      <c r="C134" s="33" t="s">
        <v>69</v>
      </c>
      <c r="D134" s="33" t="s">
        <v>850</v>
      </c>
      <c r="E134" s="33" t="s">
        <v>698</v>
      </c>
      <c r="F134" s="170" t="s">
        <v>852</v>
      </c>
      <c r="G134" s="62" t="s">
        <v>849</v>
      </c>
      <c r="H134" s="170" t="s">
        <v>855</v>
      </c>
      <c r="I134" s="33"/>
    </row>
    <row r="135" spans="1:9" x14ac:dyDescent="0.25">
      <c r="A135" s="52">
        <v>34</v>
      </c>
      <c r="B135" s="33" t="s">
        <v>1379</v>
      </c>
      <c r="C135" s="33" t="s">
        <v>69</v>
      </c>
      <c r="D135" s="33" t="s">
        <v>1381</v>
      </c>
      <c r="E135" s="33" t="s">
        <v>1383</v>
      </c>
      <c r="F135" s="170" t="s">
        <v>1044</v>
      </c>
      <c r="G135" s="62" t="s">
        <v>1380</v>
      </c>
      <c r="H135" s="170" t="s">
        <v>1386</v>
      </c>
      <c r="I135" s="33"/>
    </row>
    <row r="136" spans="1:9" x14ac:dyDescent="0.25">
      <c r="A136" s="52">
        <v>35</v>
      </c>
      <c r="B136" s="33" t="s">
        <v>1005</v>
      </c>
      <c r="C136" s="33" t="s">
        <v>70</v>
      </c>
      <c r="D136" s="33" t="s">
        <v>1007</v>
      </c>
      <c r="E136" s="33" t="s">
        <v>906</v>
      </c>
      <c r="F136" s="170" t="s">
        <v>907</v>
      </c>
      <c r="G136" s="62" t="s">
        <v>1006</v>
      </c>
      <c r="H136" s="170" t="s">
        <v>1010</v>
      </c>
      <c r="I136" s="33"/>
    </row>
    <row r="137" spans="1:9" x14ac:dyDescent="0.25">
      <c r="A137" s="52">
        <v>36</v>
      </c>
      <c r="B137" s="33" t="s">
        <v>981</v>
      </c>
      <c r="C137" s="33" t="s">
        <v>70</v>
      </c>
      <c r="D137" s="33" t="s">
        <v>983</v>
      </c>
      <c r="E137" s="33" t="s">
        <v>906</v>
      </c>
      <c r="F137" s="170" t="s">
        <v>985</v>
      </c>
      <c r="G137" s="62" t="s">
        <v>982</v>
      </c>
      <c r="H137" s="170" t="s">
        <v>989</v>
      </c>
      <c r="I137" s="33"/>
    </row>
    <row r="138" spans="1:9" x14ac:dyDescent="0.25">
      <c r="A138" s="52">
        <v>37</v>
      </c>
      <c r="B138" s="33" t="s">
        <v>1055</v>
      </c>
      <c r="C138" s="33" t="s">
        <v>69</v>
      </c>
      <c r="D138" s="33" t="s">
        <v>1057</v>
      </c>
      <c r="E138" s="33" t="s">
        <v>1060</v>
      </c>
      <c r="F138" s="170" t="s">
        <v>729</v>
      </c>
      <c r="G138" s="62" t="s">
        <v>1056</v>
      </c>
      <c r="H138" s="170" t="s">
        <v>1062</v>
      </c>
      <c r="I138" s="33"/>
    </row>
    <row r="139" spans="1:9" x14ac:dyDescent="0.25">
      <c r="A139" s="52">
        <v>38</v>
      </c>
      <c r="B139" s="33" t="s">
        <v>1170</v>
      </c>
      <c r="C139" s="33" t="s">
        <v>70</v>
      </c>
      <c r="D139" s="33" t="s">
        <v>1172</v>
      </c>
      <c r="E139" s="33" t="s">
        <v>1060</v>
      </c>
      <c r="F139" s="170" t="s">
        <v>647</v>
      </c>
      <c r="G139" s="62" t="s">
        <v>1171</v>
      </c>
      <c r="H139" s="170" t="s">
        <v>1176</v>
      </c>
      <c r="I139" s="33"/>
    </row>
    <row r="140" spans="1:9" x14ac:dyDescent="0.25">
      <c r="A140" s="52">
        <v>39</v>
      </c>
      <c r="B140" s="33" t="s">
        <v>2039</v>
      </c>
      <c r="C140" s="33" t="s">
        <v>70</v>
      </c>
      <c r="D140" s="33" t="s">
        <v>1406</v>
      </c>
      <c r="E140" s="33" t="s">
        <v>1383</v>
      </c>
      <c r="F140" s="170" t="s">
        <v>1408</v>
      </c>
      <c r="G140" s="62" t="s">
        <v>1405</v>
      </c>
      <c r="H140" s="170" t="s">
        <v>1412</v>
      </c>
      <c r="I140" s="33"/>
    </row>
    <row r="141" spans="1:9" x14ac:dyDescent="0.25">
      <c r="A141" s="52">
        <v>40</v>
      </c>
      <c r="B141" s="33" t="s">
        <v>1274</v>
      </c>
      <c r="C141" s="33" t="s">
        <v>70</v>
      </c>
      <c r="D141" s="33" t="s">
        <v>1276</v>
      </c>
      <c r="E141" s="33" t="s">
        <v>1060</v>
      </c>
      <c r="F141" s="170" t="s">
        <v>1267</v>
      </c>
      <c r="G141" s="62" t="s">
        <v>1275</v>
      </c>
      <c r="H141" s="170" t="s">
        <v>1280</v>
      </c>
      <c r="I141" s="33"/>
    </row>
    <row r="142" spans="1:9" x14ac:dyDescent="0.25">
      <c r="A142" s="52">
        <v>41</v>
      </c>
      <c r="B142" s="33" t="s">
        <v>871</v>
      </c>
      <c r="C142" s="33" t="s">
        <v>69</v>
      </c>
      <c r="D142" s="33" t="s">
        <v>873</v>
      </c>
      <c r="E142" s="33" t="s">
        <v>698</v>
      </c>
      <c r="F142" s="170" t="s">
        <v>875</v>
      </c>
      <c r="G142" s="62" t="s">
        <v>872</v>
      </c>
      <c r="H142" s="170" t="s">
        <v>877</v>
      </c>
      <c r="I142" s="33"/>
    </row>
    <row r="143" spans="1:9" x14ac:dyDescent="0.25">
      <c r="A143" s="52">
        <v>42</v>
      </c>
      <c r="B143" s="33" t="s">
        <v>826</v>
      </c>
      <c r="C143" s="33" t="s">
        <v>70</v>
      </c>
      <c r="D143" s="33" t="s">
        <v>828</v>
      </c>
      <c r="E143" s="33" t="s">
        <v>698</v>
      </c>
      <c r="F143" s="170" t="s">
        <v>98</v>
      </c>
      <c r="G143" s="62" t="s">
        <v>827</v>
      </c>
      <c r="H143" s="170" t="s">
        <v>831</v>
      </c>
      <c r="I143" s="33"/>
    </row>
    <row r="144" spans="1:9" x14ac:dyDescent="0.25">
      <c r="A144" s="52">
        <v>43</v>
      </c>
      <c r="B144" s="33" t="s">
        <v>901</v>
      </c>
      <c r="C144" s="33" t="s">
        <v>70</v>
      </c>
      <c r="D144" s="33" t="s">
        <v>903</v>
      </c>
      <c r="E144" s="33" t="s">
        <v>906</v>
      </c>
      <c r="F144" s="170" t="s">
        <v>907</v>
      </c>
      <c r="G144" s="62" t="s">
        <v>902</v>
      </c>
      <c r="H144" s="170" t="s">
        <v>909</v>
      </c>
      <c r="I144" s="33"/>
    </row>
    <row r="145" spans="1:9" x14ac:dyDescent="0.25">
      <c r="A145" s="52">
        <v>44</v>
      </c>
      <c r="B145" s="33" t="s">
        <v>1192</v>
      </c>
      <c r="C145" s="33" t="s">
        <v>70</v>
      </c>
      <c r="D145" s="33" t="s">
        <v>1194</v>
      </c>
      <c r="E145" s="33" t="s">
        <v>1060</v>
      </c>
      <c r="F145" s="170" t="s">
        <v>1196</v>
      </c>
      <c r="G145" s="62" t="s">
        <v>1193</v>
      </c>
      <c r="H145" s="170" t="s">
        <v>1198</v>
      </c>
      <c r="I145" s="33"/>
    </row>
    <row r="146" spans="1:9" x14ac:dyDescent="0.25">
      <c r="A146" s="52">
        <v>45</v>
      </c>
      <c r="B146" s="33" t="s">
        <v>1469</v>
      </c>
      <c r="C146" s="33" t="s">
        <v>69</v>
      </c>
      <c r="D146" s="33" t="s">
        <v>1471</v>
      </c>
      <c r="E146" s="33" t="s">
        <v>1383</v>
      </c>
      <c r="F146" s="170" t="s">
        <v>1351</v>
      </c>
      <c r="G146" s="62" t="s">
        <v>1470</v>
      </c>
      <c r="H146" s="170" t="s">
        <v>1474</v>
      </c>
      <c r="I146" s="33"/>
    </row>
    <row r="147" spans="1:9" x14ac:dyDescent="0.25">
      <c r="A147" s="52">
        <v>46</v>
      </c>
      <c r="B147" s="33" t="s">
        <v>1451</v>
      </c>
      <c r="C147" s="33" t="s">
        <v>70</v>
      </c>
      <c r="D147" s="33" t="s">
        <v>1453</v>
      </c>
      <c r="E147" s="33" t="s">
        <v>1383</v>
      </c>
      <c r="F147" s="170" t="s">
        <v>1267</v>
      </c>
      <c r="G147" s="62" t="s">
        <v>1452</v>
      </c>
      <c r="H147" s="170" t="s">
        <v>1456</v>
      </c>
      <c r="I147" s="33"/>
    </row>
    <row r="148" spans="1:9" x14ac:dyDescent="0.25">
      <c r="A148" s="52">
        <v>47</v>
      </c>
      <c r="B148" s="33" t="s">
        <v>1250</v>
      </c>
      <c r="C148" s="33" t="s">
        <v>69</v>
      </c>
      <c r="D148" s="33" t="s">
        <v>1252</v>
      </c>
      <c r="E148" s="33" t="s">
        <v>1060</v>
      </c>
      <c r="F148" s="170" t="s">
        <v>875</v>
      </c>
      <c r="G148" s="62" t="s">
        <v>1251</v>
      </c>
      <c r="H148" s="170" t="s">
        <v>1255</v>
      </c>
      <c r="I148" s="33"/>
    </row>
    <row r="149" spans="1:9" x14ac:dyDescent="0.25">
      <c r="A149" s="52">
        <v>48</v>
      </c>
      <c r="B149" s="33" t="s">
        <v>1433</v>
      </c>
      <c r="C149" s="33" t="s">
        <v>69</v>
      </c>
      <c r="D149" s="33" t="s">
        <v>1435</v>
      </c>
      <c r="E149" s="33" t="s">
        <v>1383</v>
      </c>
      <c r="F149" s="170" t="s">
        <v>1044</v>
      </c>
      <c r="G149" s="62" t="s">
        <v>1434</v>
      </c>
      <c r="H149" s="170" t="s">
        <v>1438</v>
      </c>
      <c r="I149" s="33"/>
    </row>
    <row r="150" spans="1:9" x14ac:dyDescent="0.25">
      <c r="A150" s="52">
        <v>49</v>
      </c>
      <c r="B150" s="33" t="s">
        <v>956</v>
      </c>
      <c r="C150" s="33" t="s">
        <v>69</v>
      </c>
      <c r="D150" s="33" t="s">
        <v>958</v>
      </c>
      <c r="E150" s="33" t="s">
        <v>906</v>
      </c>
      <c r="F150" s="170" t="s">
        <v>960</v>
      </c>
      <c r="G150" s="62" t="s">
        <v>957</v>
      </c>
      <c r="H150" s="170" t="s">
        <v>962</v>
      </c>
      <c r="I150" s="33"/>
    </row>
    <row r="151" spans="1:9" x14ac:dyDescent="0.25">
      <c r="A151" s="52">
        <v>50</v>
      </c>
      <c r="B151" s="33" t="s">
        <v>1485</v>
      </c>
      <c r="C151" s="33" t="s">
        <v>69</v>
      </c>
      <c r="D151" s="33" t="s">
        <v>1487</v>
      </c>
      <c r="E151" s="33" t="s">
        <v>1383</v>
      </c>
      <c r="F151" s="170" t="s">
        <v>1351</v>
      </c>
      <c r="G151" s="62" t="s">
        <v>2040</v>
      </c>
      <c r="H151" s="170" t="s">
        <v>1490</v>
      </c>
      <c r="I151" s="33"/>
    </row>
    <row r="152" spans="1:9" x14ac:dyDescent="0.25">
      <c r="A152" s="52">
        <v>51</v>
      </c>
      <c r="B152" s="33" t="s">
        <v>1333</v>
      </c>
      <c r="C152" s="33" t="s">
        <v>69</v>
      </c>
      <c r="D152" s="33" t="s">
        <v>1335</v>
      </c>
      <c r="E152" s="33" t="s">
        <v>1383</v>
      </c>
      <c r="F152" s="170" t="s">
        <v>1351</v>
      </c>
      <c r="G152" s="62" t="s">
        <v>1334</v>
      </c>
      <c r="H152" s="170" t="s">
        <v>1340</v>
      </c>
      <c r="I152" s="33"/>
    </row>
    <row r="153" spans="1:9" x14ac:dyDescent="0.25">
      <c r="A153" s="52">
        <v>52</v>
      </c>
      <c r="B153" s="33" t="s">
        <v>1232</v>
      </c>
      <c r="C153" s="33" t="s">
        <v>69</v>
      </c>
      <c r="D153" s="33" t="s">
        <v>1234</v>
      </c>
      <c r="E153" s="33" t="s">
        <v>1060</v>
      </c>
      <c r="F153" s="170" t="s">
        <v>852</v>
      </c>
      <c r="G153" s="62" t="s">
        <v>1233</v>
      </c>
      <c r="H153" s="170" t="s">
        <v>1237</v>
      </c>
      <c r="I153" s="33"/>
    </row>
    <row r="154" spans="1:9" x14ac:dyDescent="0.25">
      <c r="A154" s="52">
        <v>53</v>
      </c>
      <c r="B154" s="33" t="s">
        <v>1298</v>
      </c>
      <c r="C154" s="33" t="s">
        <v>70</v>
      </c>
      <c r="D154" s="33" t="s">
        <v>1300</v>
      </c>
      <c r="E154" s="33" t="s">
        <v>1060</v>
      </c>
      <c r="F154" s="170" t="s">
        <v>1267</v>
      </c>
      <c r="G154" s="62" t="s">
        <v>1299</v>
      </c>
      <c r="H154" s="170" t="s">
        <v>1303</v>
      </c>
      <c r="I154" s="33"/>
    </row>
    <row r="156" spans="1:9" ht="15.6" x14ac:dyDescent="0.25">
      <c r="A156" s="324" t="s">
        <v>2030</v>
      </c>
      <c r="B156" s="324"/>
      <c r="C156" s="324"/>
      <c r="D156" s="324"/>
      <c r="E156" s="324"/>
      <c r="F156" s="324"/>
      <c r="G156" s="324"/>
      <c r="H156" s="324"/>
      <c r="I156" s="324"/>
    </row>
    <row r="157" spans="1:9" x14ac:dyDescent="0.25">
      <c r="A157" s="301" t="s">
        <v>3</v>
      </c>
      <c r="B157" s="301" t="s">
        <v>4</v>
      </c>
      <c r="C157" s="300" t="s">
        <v>6</v>
      </c>
      <c r="D157" s="301" t="s">
        <v>8</v>
      </c>
      <c r="E157" s="301" t="s">
        <v>10</v>
      </c>
      <c r="F157" s="301"/>
      <c r="G157" s="301" t="s">
        <v>1981</v>
      </c>
      <c r="H157" s="301" t="s">
        <v>2028</v>
      </c>
      <c r="I157" s="304" t="s">
        <v>2029</v>
      </c>
    </row>
    <row r="158" spans="1:9" x14ac:dyDescent="0.25">
      <c r="A158" s="301"/>
      <c r="B158" s="301"/>
      <c r="C158" s="300"/>
      <c r="D158" s="301"/>
      <c r="E158" s="7" t="s">
        <v>58</v>
      </c>
      <c r="F158" s="158" t="s">
        <v>1982</v>
      </c>
      <c r="G158" s="301"/>
      <c r="H158" s="301"/>
      <c r="I158" s="304"/>
    </row>
    <row r="159" spans="1:9" x14ac:dyDescent="0.25">
      <c r="A159" s="52">
        <v>1</v>
      </c>
      <c r="B159" s="33" t="s">
        <v>1671</v>
      </c>
      <c r="C159" s="33" t="s">
        <v>70</v>
      </c>
      <c r="D159" s="33" t="s">
        <v>1673</v>
      </c>
      <c r="E159" s="33" t="s">
        <v>1383</v>
      </c>
      <c r="F159" s="170" t="s">
        <v>852</v>
      </c>
      <c r="G159" s="62" t="s">
        <v>1672</v>
      </c>
      <c r="H159" s="170" t="s">
        <v>1678</v>
      </c>
      <c r="I159" s="33"/>
    </row>
    <row r="160" spans="1:9" x14ac:dyDescent="0.25">
      <c r="A160" s="52">
        <v>2</v>
      </c>
      <c r="B160" s="33" t="s">
        <v>1747</v>
      </c>
      <c r="C160" s="33" t="s">
        <v>69</v>
      </c>
      <c r="D160" s="33" t="s">
        <v>1749</v>
      </c>
      <c r="E160" s="33" t="s">
        <v>1725</v>
      </c>
      <c r="F160" s="170" t="s">
        <v>1278</v>
      </c>
      <c r="G160" s="62" t="s">
        <v>1748</v>
      </c>
      <c r="H160" s="170" t="s">
        <v>1754</v>
      </c>
      <c r="I160" s="33"/>
    </row>
    <row r="161" spans="1:9" x14ac:dyDescent="0.25">
      <c r="A161" s="52">
        <v>3</v>
      </c>
      <c r="B161" s="33" t="s">
        <v>1720</v>
      </c>
      <c r="C161" s="33" t="s">
        <v>69</v>
      </c>
      <c r="D161" s="33" t="s">
        <v>1722</v>
      </c>
      <c r="E161" s="33" t="s">
        <v>1725</v>
      </c>
      <c r="F161" s="170" t="s">
        <v>1278</v>
      </c>
      <c r="G161" s="62" t="s">
        <v>1721</v>
      </c>
      <c r="H161" s="170" t="s">
        <v>1728</v>
      </c>
      <c r="I161" s="33"/>
    </row>
    <row r="162" spans="1:9" x14ac:dyDescent="0.25">
      <c r="A162" s="52">
        <v>4</v>
      </c>
      <c r="B162" s="33" t="s">
        <v>1802</v>
      </c>
      <c r="C162" s="33" t="s">
        <v>69</v>
      </c>
      <c r="D162" s="33" t="s">
        <v>1804</v>
      </c>
      <c r="E162" s="33" t="s">
        <v>2041</v>
      </c>
      <c r="F162" s="170" t="s">
        <v>960</v>
      </c>
      <c r="G162" s="62" t="s">
        <v>1803</v>
      </c>
      <c r="H162" s="170" t="s">
        <v>1809</v>
      </c>
      <c r="I162" s="33"/>
    </row>
    <row r="163" spans="1:9" x14ac:dyDescent="0.25">
      <c r="A163" s="52">
        <v>5</v>
      </c>
      <c r="B163" s="33" t="s">
        <v>1688</v>
      </c>
      <c r="C163" s="33" t="s">
        <v>70</v>
      </c>
      <c r="D163" s="33" t="s">
        <v>1690</v>
      </c>
      <c r="E163" s="33" t="s">
        <v>1383</v>
      </c>
      <c r="F163" s="170" t="s">
        <v>1278</v>
      </c>
      <c r="G163" s="62" t="s">
        <v>1689</v>
      </c>
      <c r="H163" s="170" t="s">
        <v>1694</v>
      </c>
      <c r="I163" s="33"/>
    </row>
    <row r="164" spans="1:9" x14ac:dyDescent="0.25">
      <c r="A164" s="52">
        <v>6</v>
      </c>
      <c r="B164" s="33" t="s">
        <v>1760</v>
      </c>
      <c r="C164" s="33" t="s">
        <v>70</v>
      </c>
      <c r="D164" s="33" t="s">
        <v>1762</v>
      </c>
      <c r="E164" s="33" t="s">
        <v>1725</v>
      </c>
      <c r="F164" s="170" t="s">
        <v>1278</v>
      </c>
      <c r="G164" s="62" t="s">
        <v>1761</v>
      </c>
      <c r="H164" s="170" t="s">
        <v>1765</v>
      </c>
      <c r="I164" s="33"/>
    </row>
    <row r="165" spans="1:9" x14ac:dyDescent="0.25">
      <c r="A165" s="52">
        <v>7</v>
      </c>
      <c r="B165" s="33" t="s">
        <v>1734</v>
      </c>
      <c r="C165" s="33" t="s">
        <v>69</v>
      </c>
      <c r="D165" s="33" t="s">
        <v>1736</v>
      </c>
      <c r="E165" s="33" t="s">
        <v>1725</v>
      </c>
      <c r="F165" s="170" t="s">
        <v>1278</v>
      </c>
      <c r="G165" s="62" t="s">
        <v>1735</v>
      </c>
      <c r="H165" s="170" t="s">
        <v>1740</v>
      </c>
      <c r="I165" s="33"/>
    </row>
    <row r="166" spans="1:9" x14ac:dyDescent="0.25">
      <c r="A166" s="52">
        <v>8</v>
      </c>
      <c r="B166" s="33" t="s">
        <v>1770</v>
      </c>
      <c r="C166" s="33" t="s">
        <v>69</v>
      </c>
      <c r="D166" s="33" t="s">
        <v>1772</v>
      </c>
      <c r="E166" s="33" t="s">
        <v>1775</v>
      </c>
      <c r="F166" s="170" t="s">
        <v>1776</v>
      </c>
      <c r="G166" s="62" t="s">
        <v>1771</v>
      </c>
      <c r="H166" s="170" t="s">
        <v>1779</v>
      </c>
      <c r="I166" s="33"/>
    </row>
    <row r="167" spans="1:9" x14ac:dyDescent="0.25">
      <c r="A167" s="52">
        <v>9</v>
      </c>
      <c r="B167" s="33" t="s">
        <v>1658</v>
      </c>
      <c r="C167" s="33" t="s">
        <v>70</v>
      </c>
      <c r="D167" s="33" t="s">
        <v>1660</v>
      </c>
      <c r="E167" s="33" t="s">
        <v>698</v>
      </c>
      <c r="F167" s="170" t="s">
        <v>875</v>
      </c>
      <c r="G167" s="62" t="s">
        <v>1659</v>
      </c>
      <c r="H167" s="170" t="s">
        <v>1664</v>
      </c>
      <c r="I167" s="33"/>
    </row>
    <row r="168" spans="1:9" x14ac:dyDescent="0.25">
      <c r="A168" s="52">
        <v>10</v>
      </c>
      <c r="B168" s="33" t="s">
        <v>1791</v>
      </c>
      <c r="C168" s="33" t="s">
        <v>69</v>
      </c>
      <c r="D168" s="33" t="s">
        <v>1793</v>
      </c>
      <c r="E168" s="33" t="s">
        <v>1775</v>
      </c>
      <c r="F168" s="170" t="s">
        <v>1776</v>
      </c>
      <c r="G168" s="62" t="s">
        <v>1792</v>
      </c>
      <c r="H168" s="170" t="s">
        <v>1797</v>
      </c>
      <c r="I168" s="33"/>
    </row>
    <row r="169" spans="1:9" x14ac:dyDescent="0.25">
      <c r="A169" s="52">
        <v>11</v>
      </c>
      <c r="B169" s="33" t="s">
        <v>1704</v>
      </c>
      <c r="C169" s="33" t="s">
        <v>69</v>
      </c>
      <c r="D169" s="33" t="s">
        <v>1706</v>
      </c>
      <c r="E169" s="33" t="s">
        <v>1709</v>
      </c>
      <c r="F169" s="170" t="s">
        <v>1278</v>
      </c>
      <c r="G169" s="62" t="s">
        <v>1705</v>
      </c>
      <c r="H169" s="170" t="s">
        <v>1712</v>
      </c>
      <c r="I169" s="33"/>
    </row>
    <row r="174" spans="1:9" x14ac:dyDescent="0.25">
      <c r="B174" t="s">
        <v>2042</v>
      </c>
      <c r="G174" s="141" t="s">
        <v>2043</v>
      </c>
    </row>
    <row r="175" spans="1:9" x14ac:dyDescent="0.25">
      <c r="B175" t="s">
        <v>2044</v>
      </c>
      <c r="G175" s="141" t="s">
        <v>2032</v>
      </c>
    </row>
    <row r="179" spans="1:9" x14ac:dyDescent="0.25">
      <c r="B179" t="s">
        <v>2045</v>
      </c>
      <c r="G179" s="141" t="s">
        <v>2033</v>
      </c>
    </row>
    <row r="180" spans="1:9" x14ac:dyDescent="0.25">
      <c r="B180" t="s">
        <v>2046</v>
      </c>
      <c r="G180" s="141" t="s">
        <v>2034</v>
      </c>
    </row>
    <row r="181" spans="1:9" ht="22.8" x14ac:dyDescent="0.25">
      <c r="A181" s="323" t="s">
        <v>2024</v>
      </c>
      <c r="B181" s="323"/>
      <c r="C181" s="323"/>
      <c r="D181" s="323"/>
      <c r="E181" s="323"/>
      <c r="F181" s="323"/>
      <c r="G181" s="323"/>
      <c r="H181" s="323"/>
      <c r="I181" s="323"/>
    </row>
    <row r="182" spans="1:9" ht="22.8" x14ac:dyDescent="0.25">
      <c r="A182" s="323" t="s">
        <v>2025</v>
      </c>
      <c r="B182" s="323"/>
      <c r="C182" s="323"/>
      <c r="D182" s="323"/>
      <c r="E182" s="323"/>
      <c r="F182" s="323"/>
      <c r="G182" s="323"/>
      <c r="H182" s="323"/>
      <c r="I182" s="323"/>
    </row>
    <row r="183" spans="1:9" ht="22.8" x14ac:dyDescent="0.25">
      <c r="A183" s="323" t="s">
        <v>2047</v>
      </c>
      <c r="B183" s="323"/>
      <c r="C183" s="323"/>
      <c r="D183" s="323"/>
      <c r="E183" s="323"/>
      <c r="F183" s="323"/>
      <c r="G183" s="323"/>
      <c r="H183" s="323"/>
      <c r="I183" s="323"/>
    </row>
    <row r="184" spans="1:9" x14ac:dyDescent="0.25">
      <c r="A184" s="3"/>
      <c r="B184" s="3"/>
      <c r="C184" s="3"/>
      <c r="D184" s="3"/>
      <c r="E184" s="3"/>
      <c r="F184" s="138"/>
      <c r="G184" s="4"/>
      <c r="H184" s="138"/>
      <c r="I184" s="3"/>
    </row>
    <row r="185" spans="1:9" ht="15.6" x14ac:dyDescent="0.25">
      <c r="A185" s="324" t="s">
        <v>2027</v>
      </c>
      <c r="B185" s="324"/>
      <c r="C185" s="324"/>
      <c r="D185" s="324"/>
      <c r="E185" s="324"/>
      <c r="F185" s="324"/>
      <c r="G185" s="324"/>
      <c r="H185" s="324"/>
      <c r="I185" s="324"/>
    </row>
    <row r="186" spans="1:9" x14ac:dyDescent="0.25">
      <c r="A186" s="301" t="s">
        <v>3</v>
      </c>
      <c r="B186" s="301" t="s">
        <v>4</v>
      </c>
      <c r="C186" s="300" t="s">
        <v>6</v>
      </c>
      <c r="D186" s="301" t="s">
        <v>8</v>
      </c>
      <c r="E186" s="301" t="s">
        <v>10</v>
      </c>
      <c r="F186" s="301"/>
      <c r="G186" s="301" t="s">
        <v>1981</v>
      </c>
      <c r="H186" s="301" t="s">
        <v>2028</v>
      </c>
      <c r="I186" s="304" t="s">
        <v>2029</v>
      </c>
    </row>
    <row r="187" spans="1:9" x14ac:dyDescent="0.25">
      <c r="A187" s="301"/>
      <c r="B187" s="301"/>
      <c r="C187" s="300"/>
      <c r="D187" s="301"/>
      <c r="E187" s="7" t="s">
        <v>58</v>
      </c>
      <c r="F187" s="158" t="s">
        <v>1982</v>
      </c>
      <c r="G187" s="301"/>
      <c r="H187" s="301"/>
      <c r="I187" s="304"/>
    </row>
    <row r="188" spans="1:9" x14ac:dyDescent="0.25">
      <c r="A188" s="33">
        <v>1</v>
      </c>
      <c r="B188" s="33" t="s">
        <v>693</v>
      </c>
      <c r="C188" s="33" t="s">
        <v>69</v>
      </c>
      <c r="D188" s="33" t="s">
        <v>696</v>
      </c>
      <c r="E188" s="33" t="s">
        <v>698</v>
      </c>
      <c r="F188" s="170" t="s">
        <v>98</v>
      </c>
      <c r="G188" s="62" t="s">
        <v>694</v>
      </c>
      <c r="H188" s="170" t="s">
        <v>700</v>
      </c>
      <c r="I188" s="33"/>
    </row>
    <row r="189" spans="1:9" x14ac:dyDescent="0.25">
      <c r="A189" s="33">
        <v>2</v>
      </c>
      <c r="B189" s="33" t="s">
        <v>93</v>
      </c>
      <c r="C189" s="33" t="s">
        <v>70</v>
      </c>
      <c r="D189" s="33" t="s">
        <v>96</v>
      </c>
      <c r="E189" s="33" t="s">
        <v>84</v>
      </c>
      <c r="F189" s="170" t="s">
        <v>98</v>
      </c>
      <c r="G189" s="62" t="s">
        <v>94</v>
      </c>
      <c r="H189" s="170" t="s">
        <v>103</v>
      </c>
      <c r="I189" s="33"/>
    </row>
    <row r="190" spans="1:9" x14ac:dyDescent="0.25">
      <c r="A190" s="33">
        <v>3</v>
      </c>
      <c r="B190" s="33" t="s">
        <v>2048</v>
      </c>
      <c r="C190" s="33" t="s">
        <v>69</v>
      </c>
      <c r="D190" s="33" t="s">
        <v>2049</v>
      </c>
      <c r="E190" s="33" t="s">
        <v>226</v>
      </c>
      <c r="F190" s="170" t="s">
        <v>2050</v>
      </c>
      <c r="G190" s="62" t="s">
        <v>2051</v>
      </c>
      <c r="H190" s="170" t="s">
        <v>2052</v>
      </c>
      <c r="I190" s="33"/>
    </row>
    <row r="191" spans="1:9" x14ac:dyDescent="0.25">
      <c r="A191" s="33">
        <v>4</v>
      </c>
      <c r="B191" s="33" t="s">
        <v>283</v>
      </c>
      <c r="C191" s="33" t="s">
        <v>70</v>
      </c>
      <c r="D191" s="33" t="s">
        <v>286</v>
      </c>
      <c r="E191" s="33" t="s">
        <v>226</v>
      </c>
      <c r="F191" s="170" t="s">
        <v>287</v>
      </c>
      <c r="G191" s="62" t="s">
        <v>284</v>
      </c>
      <c r="H191" s="170" t="s">
        <v>290</v>
      </c>
      <c r="I191" s="33"/>
    </row>
    <row r="192" spans="1:9" x14ac:dyDescent="0.25">
      <c r="A192" s="33">
        <v>5</v>
      </c>
      <c r="B192" s="33" t="s">
        <v>359</v>
      </c>
      <c r="C192" s="33" t="s">
        <v>70</v>
      </c>
      <c r="D192" s="33" t="s">
        <v>362</v>
      </c>
      <c r="E192" s="33" t="s">
        <v>226</v>
      </c>
      <c r="F192" s="170" t="s">
        <v>255</v>
      </c>
      <c r="G192" s="62" t="s">
        <v>360</v>
      </c>
      <c r="H192" s="170" t="s">
        <v>366</v>
      </c>
      <c r="I192" s="33"/>
    </row>
    <row r="193" spans="1:9" x14ac:dyDescent="0.25">
      <c r="A193" s="33">
        <v>6</v>
      </c>
      <c r="B193" s="33" t="s">
        <v>251</v>
      </c>
      <c r="C193" s="33" t="s">
        <v>69</v>
      </c>
      <c r="D193" s="33" t="s">
        <v>254</v>
      </c>
      <c r="E193" s="33" t="s">
        <v>226</v>
      </c>
      <c r="F193" s="170" t="s">
        <v>255</v>
      </c>
      <c r="G193" s="62" t="s">
        <v>252</v>
      </c>
      <c r="H193" s="170" t="s">
        <v>260</v>
      </c>
      <c r="I193" s="33"/>
    </row>
    <row r="194" spans="1:9" x14ac:dyDescent="0.25">
      <c r="A194" s="33">
        <v>7</v>
      </c>
      <c r="B194" s="33" t="s">
        <v>333</v>
      </c>
      <c r="C194" s="33" t="s">
        <v>70</v>
      </c>
      <c r="D194" s="33" t="s">
        <v>336</v>
      </c>
      <c r="E194" s="33" t="s">
        <v>226</v>
      </c>
      <c r="F194" s="170" t="s">
        <v>337</v>
      </c>
      <c r="G194" s="62" t="s">
        <v>334</v>
      </c>
      <c r="H194" s="170" t="s">
        <v>341</v>
      </c>
      <c r="I194" s="33"/>
    </row>
    <row r="195" spans="1:9" x14ac:dyDescent="0.25">
      <c r="A195" s="33">
        <v>8</v>
      </c>
      <c r="B195" s="33" t="s">
        <v>426</v>
      </c>
      <c r="C195" s="33" t="s">
        <v>69</v>
      </c>
      <c r="D195" s="33" t="s">
        <v>429</v>
      </c>
      <c r="E195" s="33" t="s">
        <v>226</v>
      </c>
      <c r="F195" s="170" t="s">
        <v>430</v>
      </c>
      <c r="G195" s="62" t="s">
        <v>427</v>
      </c>
      <c r="H195" s="170" t="s">
        <v>434</v>
      </c>
      <c r="I195" s="33"/>
    </row>
    <row r="196" spans="1:9" x14ac:dyDescent="0.25">
      <c r="A196" s="33">
        <v>9</v>
      </c>
      <c r="B196" s="33" t="s">
        <v>547</v>
      </c>
      <c r="C196" s="33" t="s">
        <v>69</v>
      </c>
      <c r="D196" s="33" t="s">
        <v>550</v>
      </c>
      <c r="E196" s="33" t="s">
        <v>226</v>
      </c>
      <c r="F196" s="170" t="s">
        <v>551</v>
      </c>
      <c r="G196" s="62" t="s">
        <v>548</v>
      </c>
      <c r="H196" s="170" t="s">
        <v>553</v>
      </c>
      <c r="I196" s="33"/>
    </row>
    <row r="197" spans="1:9" x14ac:dyDescent="0.25">
      <c r="A197" s="33">
        <v>10</v>
      </c>
      <c r="B197" s="33" t="s">
        <v>1215</v>
      </c>
      <c r="C197" s="33" t="s">
        <v>69</v>
      </c>
      <c r="D197" s="33" t="s">
        <v>1218</v>
      </c>
      <c r="E197" s="33" t="s">
        <v>1060</v>
      </c>
      <c r="F197" s="170" t="s">
        <v>1081</v>
      </c>
      <c r="G197" s="62" t="s">
        <v>1216</v>
      </c>
      <c r="H197" s="170" t="s">
        <v>1220</v>
      </c>
      <c r="I197" s="33"/>
    </row>
    <row r="198" spans="1:9" x14ac:dyDescent="0.25">
      <c r="A198" s="33">
        <v>11</v>
      </c>
      <c r="B198" s="33" t="s">
        <v>643</v>
      </c>
      <c r="C198" s="33" t="s">
        <v>70</v>
      </c>
      <c r="D198" s="33" t="s">
        <v>646</v>
      </c>
      <c r="E198" s="33" t="s">
        <v>226</v>
      </c>
      <c r="F198" s="170" t="s">
        <v>647</v>
      </c>
      <c r="G198" s="62" t="s">
        <v>644</v>
      </c>
      <c r="H198" s="170" t="s">
        <v>651</v>
      </c>
      <c r="I198" s="33"/>
    </row>
    <row r="199" spans="1:9" x14ac:dyDescent="0.25">
      <c r="A199" s="33">
        <v>12</v>
      </c>
      <c r="B199" s="33" t="s">
        <v>385</v>
      </c>
      <c r="C199" s="33" t="s">
        <v>70</v>
      </c>
      <c r="D199" s="33" t="s">
        <v>388</v>
      </c>
      <c r="E199" s="33" t="s">
        <v>226</v>
      </c>
      <c r="F199" s="170" t="s">
        <v>287</v>
      </c>
      <c r="G199" s="62" t="s">
        <v>386</v>
      </c>
      <c r="H199" s="170" t="s">
        <v>390</v>
      </c>
      <c r="I199" s="33"/>
    </row>
    <row r="200" spans="1:9" x14ac:dyDescent="0.25">
      <c r="A200" s="33">
        <v>13</v>
      </c>
      <c r="B200" s="33" t="s">
        <v>133</v>
      </c>
      <c r="C200" s="33" t="s">
        <v>70</v>
      </c>
      <c r="D200" s="33" t="s">
        <v>136</v>
      </c>
      <c r="E200" s="33" t="s">
        <v>84</v>
      </c>
      <c r="F200" s="170" t="s">
        <v>137</v>
      </c>
      <c r="G200" s="62" t="s">
        <v>134</v>
      </c>
      <c r="H200" s="170" t="s">
        <v>140</v>
      </c>
      <c r="I200" s="33"/>
    </row>
    <row r="201" spans="1:9" x14ac:dyDescent="0.25">
      <c r="A201" s="33">
        <v>14</v>
      </c>
      <c r="B201" s="33" t="s">
        <v>310</v>
      </c>
      <c r="C201" s="33" t="s">
        <v>70</v>
      </c>
      <c r="D201" s="33" t="s">
        <v>313</v>
      </c>
      <c r="E201" s="33" t="s">
        <v>226</v>
      </c>
      <c r="F201" s="170" t="s">
        <v>287</v>
      </c>
      <c r="G201" s="62" t="s">
        <v>311</v>
      </c>
      <c r="H201" s="170" t="s">
        <v>316</v>
      </c>
      <c r="I201" s="33"/>
    </row>
    <row r="202" spans="1:9" x14ac:dyDescent="0.25">
      <c r="A202" s="33">
        <v>15</v>
      </c>
      <c r="B202" s="33" t="s">
        <v>1103</v>
      </c>
      <c r="C202" s="33" t="s">
        <v>69</v>
      </c>
      <c r="D202" s="33" t="s">
        <v>1106</v>
      </c>
      <c r="E202" s="33" t="s">
        <v>1060</v>
      </c>
      <c r="F202" s="170" t="s">
        <v>1081</v>
      </c>
      <c r="G202" s="62" t="s">
        <v>1104</v>
      </c>
      <c r="H202" s="170" t="s">
        <v>1108</v>
      </c>
      <c r="I202" s="33"/>
    </row>
    <row r="203" spans="1:9" x14ac:dyDescent="0.25">
      <c r="A203" s="33">
        <v>16</v>
      </c>
      <c r="B203" s="33" t="s">
        <v>1318</v>
      </c>
      <c r="C203" s="33" t="s">
        <v>70</v>
      </c>
      <c r="D203" s="33" t="s">
        <v>1321</v>
      </c>
      <c r="E203" s="33" t="s">
        <v>1060</v>
      </c>
      <c r="F203" s="170" t="s">
        <v>1081</v>
      </c>
      <c r="G203" s="62" t="s">
        <v>1319</v>
      </c>
      <c r="H203" s="170" t="s">
        <v>1108</v>
      </c>
      <c r="I203" s="33"/>
    </row>
    <row r="204" spans="1:9" x14ac:dyDescent="0.25">
      <c r="A204" s="33">
        <v>17</v>
      </c>
      <c r="B204" s="33" t="s">
        <v>1077</v>
      </c>
      <c r="C204" s="33" t="s">
        <v>69</v>
      </c>
      <c r="D204" s="33" t="s">
        <v>1080</v>
      </c>
      <c r="E204" s="33" t="s">
        <v>1060</v>
      </c>
      <c r="F204" s="170" t="s">
        <v>1081</v>
      </c>
      <c r="G204" s="62" t="s">
        <v>1078</v>
      </c>
      <c r="H204" s="170" t="s">
        <v>1084</v>
      </c>
      <c r="I204" s="33"/>
    </row>
    <row r="205" spans="1:9" x14ac:dyDescent="0.25">
      <c r="A205" s="33">
        <v>18</v>
      </c>
      <c r="B205" s="33" t="s">
        <v>221</v>
      </c>
      <c r="C205" s="33" t="s">
        <v>70</v>
      </c>
      <c r="D205" s="33" t="s">
        <v>224</v>
      </c>
      <c r="E205" s="33" t="s">
        <v>226</v>
      </c>
      <c r="F205" s="170" t="s">
        <v>227</v>
      </c>
      <c r="G205" s="62" t="s">
        <v>222</v>
      </c>
      <c r="H205" s="170" t="s">
        <v>231</v>
      </c>
      <c r="I205" s="33"/>
    </row>
    <row r="206" spans="1:9" x14ac:dyDescent="0.25">
      <c r="A206" s="33">
        <v>19</v>
      </c>
      <c r="B206" s="33" t="s">
        <v>190</v>
      </c>
      <c r="C206" s="33" t="s">
        <v>69</v>
      </c>
      <c r="D206" s="33" t="s">
        <v>193</v>
      </c>
      <c r="E206" s="33" t="s">
        <v>84</v>
      </c>
      <c r="F206" s="170" t="s">
        <v>194</v>
      </c>
      <c r="G206" s="62" t="s">
        <v>191</v>
      </c>
      <c r="H206" s="170" t="s">
        <v>198</v>
      </c>
      <c r="I206" s="33"/>
    </row>
    <row r="207" spans="1:9" x14ac:dyDescent="0.25">
      <c r="A207" s="33">
        <v>20</v>
      </c>
      <c r="B207" s="33" t="s">
        <v>927</v>
      </c>
      <c r="C207" s="33" t="s">
        <v>69</v>
      </c>
      <c r="D207" s="33" t="s">
        <v>930</v>
      </c>
      <c r="E207" s="33" t="s">
        <v>906</v>
      </c>
      <c r="F207" s="170" t="s">
        <v>852</v>
      </c>
      <c r="G207" s="62" t="s">
        <v>928</v>
      </c>
      <c r="H207" s="170" t="s">
        <v>933</v>
      </c>
      <c r="I207" s="33"/>
    </row>
    <row r="208" spans="1:9" x14ac:dyDescent="0.25">
      <c r="A208" s="33">
        <v>21</v>
      </c>
      <c r="B208" s="33" t="s">
        <v>753</v>
      </c>
      <c r="C208" s="33" t="s">
        <v>69</v>
      </c>
      <c r="D208" s="33" t="s">
        <v>756</v>
      </c>
      <c r="E208" s="33" t="s">
        <v>698</v>
      </c>
      <c r="F208" s="170" t="s">
        <v>98</v>
      </c>
      <c r="G208" s="62" t="s">
        <v>754</v>
      </c>
      <c r="H208" s="170" t="s">
        <v>759</v>
      </c>
      <c r="I208" s="33"/>
    </row>
    <row r="209" spans="1:9" x14ac:dyDescent="0.25">
      <c r="A209" s="33">
        <v>22</v>
      </c>
      <c r="B209" s="33" t="s">
        <v>1126</v>
      </c>
      <c r="C209" s="33" t="s">
        <v>70</v>
      </c>
      <c r="D209" s="33" t="s">
        <v>1129</v>
      </c>
      <c r="E209" s="33" t="s">
        <v>1060</v>
      </c>
      <c r="F209" s="170" t="s">
        <v>647</v>
      </c>
      <c r="G209" s="62" t="s">
        <v>1127</v>
      </c>
      <c r="H209" s="170" t="s">
        <v>759</v>
      </c>
      <c r="I209" s="33"/>
    </row>
    <row r="210" spans="1:9" x14ac:dyDescent="0.25">
      <c r="A210" s="33">
        <v>23</v>
      </c>
      <c r="B210" s="33" t="s">
        <v>477</v>
      </c>
      <c r="C210" s="33" t="s">
        <v>69</v>
      </c>
      <c r="D210" s="33" t="s">
        <v>480</v>
      </c>
      <c r="E210" s="33" t="s">
        <v>226</v>
      </c>
      <c r="F210" s="170" t="s">
        <v>481</v>
      </c>
      <c r="G210" s="62" t="s">
        <v>478</v>
      </c>
      <c r="H210" s="170" t="s">
        <v>484</v>
      </c>
      <c r="I210" s="33"/>
    </row>
    <row r="211" spans="1:9" x14ac:dyDescent="0.25">
      <c r="A211" s="33">
        <v>24</v>
      </c>
      <c r="B211" s="33" t="s">
        <v>801</v>
      </c>
      <c r="C211" s="33" t="s">
        <v>69</v>
      </c>
      <c r="D211" s="33" t="s">
        <v>804</v>
      </c>
      <c r="E211" s="33" t="s">
        <v>698</v>
      </c>
      <c r="F211" s="170" t="s">
        <v>647</v>
      </c>
      <c r="G211" s="62" t="s">
        <v>802</v>
      </c>
      <c r="H211" s="170" t="s">
        <v>484</v>
      </c>
      <c r="I211" s="33"/>
    </row>
    <row r="212" spans="1:9" x14ac:dyDescent="0.25">
      <c r="A212" s="33">
        <v>25</v>
      </c>
      <c r="B212" s="33" t="s">
        <v>405</v>
      </c>
      <c r="C212" s="33" t="s">
        <v>70</v>
      </c>
      <c r="D212" s="33" t="s">
        <v>408</v>
      </c>
      <c r="E212" s="33" t="s">
        <v>226</v>
      </c>
      <c r="F212" s="170" t="s">
        <v>255</v>
      </c>
      <c r="G212" s="62" t="s">
        <v>406</v>
      </c>
      <c r="H212" s="170" t="s">
        <v>410</v>
      </c>
      <c r="I212" s="33"/>
    </row>
    <row r="213" spans="1:9" x14ac:dyDescent="0.25">
      <c r="A213" s="33">
        <v>26</v>
      </c>
      <c r="B213" s="33" t="s">
        <v>162</v>
      </c>
      <c r="C213" s="33" t="s">
        <v>70</v>
      </c>
      <c r="D213" s="33" t="s">
        <v>165</v>
      </c>
      <c r="E213" s="33" t="s">
        <v>84</v>
      </c>
      <c r="F213" s="170" t="s">
        <v>166</v>
      </c>
      <c r="G213" s="62" t="s">
        <v>163</v>
      </c>
      <c r="H213" s="170" t="s">
        <v>170</v>
      </c>
      <c r="I213" s="33"/>
    </row>
    <row r="214" spans="1:9" x14ac:dyDescent="0.25">
      <c r="A214" s="33">
        <v>27</v>
      </c>
      <c r="B214" s="33" t="s">
        <v>452</v>
      </c>
      <c r="C214" s="33" t="s">
        <v>69</v>
      </c>
      <c r="D214" s="33" t="s">
        <v>455</v>
      </c>
      <c r="E214" s="33" t="s">
        <v>226</v>
      </c>
      <c r="F214" s="170" t="s">
        <v>456</v>
      </c>
      <c r="G214" s="62" t="s">
        <v>453</v>
      </c>
      <c r="H214" s="170" t="s">
        <v>170</v>
      </c>
      <c r="I214" s="33"/>
    </row>
    <row r="215" spans="1:9" x14ac:dyDescent="0.25">
      <c r="A215" s="33">
        <v>28</v>
      </c>
      <c r="B215" s="33" t="s">
        <v>619</v>
      </c>
      <c r="C215" s="33" t="s">
        <v>70</v>
      </c>
      <c r="D215" s="33" t="s">
        <v>622</v>
      </c>
      <c r="E215" s="33" t="s">
        <v>226</v>
      </c>
      <c r="F215" s="170" t="s">
        <v>551</v>
      </c>
      <c r="G215" s="62" t="s">
        <v>620</v>
      </c>
      <c r="H215" s="170" t="s">
        <v>626</v>
      </c>
      <c r="I215" s="33"/>
    </row>
    <row r="216" spans="1:9" x14ac:dyDescent="0.25">
      <c r="A216" s="33">
        <v>29</v>
      </c>
      <c r="B216" s="33" t="s">
        <v>575</v>
      </c>
      <c r="C216" s="33" t="s">
        <v>70</v>
      </c>
      <c r="D216" s="33" t="s">
        <v>578</v>
      </c>
      <c r="E216" s="33" t="s">
        <v>226</v>
      </c>
      <c r="F216" s="170" t="s">
        <v>551</v>
      </c>
      <c r="G216" s="62" t="s">
        <v>576</v>
      </c>
      <c r="H216" s="170" t="s">
        <v>580</v>
      </c>
      <c r="I216" s="33"/>
    </row>
    <row r="217" spans="1:9" x14ac:dyDescent="0.25">
      <c r="A217" s="33">
        <v>30</v>
      </c>
      <c r="B217" s="33" t="s">
        <v>1151</v>
      </c>
      <c r="C217" s="33" t="s">
        <v>70</v>
      </c>
      <c r="D217" s="33" t="s">
        <v>1154</v>
      </c>
      <c r="E217" s="33" t="s">
        <v>1060</v>
      </c>
      <c r="F217" s="170" t="s">
        <v>647</v>
      </c>
      <c r="G217" s="62" t="s">
        <v>1152</v>
      </c>
      <c r="H217" s="170" t="s">
        <v>1156</v>
      </c>
      <c r="I217" s="33"/>
    </row>
    <row r="218" spans="1:9" x14ac:dyDescent="0.25">
      <c r="A218" s="33">
        <v>31</v>
      </c>
      <c r="B218" s="33" t="s">
        <v>2036</v>
      </c>
      <c r="C218" s="33" t="s">
        <v>70</v>
      </c>
      <c r="D218" s="33" t="s">
        <v>2053</v>
      </c>
      <c r="E218" s="33" t="s">
        <v>226</v>
      </c>
      <c r="F218" s="170" t="s">
        <v>430</v>
      </c>
      <c r="G218" s="62" t="s">
        <v>2038</v>
      </c>
      <c r="H218" s="170" t="s">
        <v>1694</v>
      </c>
      <c r="I218" s="33"/>
    </row>
    <row r="219" spans="1:9" x14ac:dyDescent="0.25">
      <c r="A219" s="33">
        <v>32</v>
      </c>
      <c r="B219" s="33" t="s">
        <v>670</v>
      </c>
      <c r="C219" s="33" t="s">
        <v>69</v>
      </c>
      <c r="D219" s="33" t="s">
        <v>673</v>
      </c>
      <c r="E219" s="33" t="s">
        <v>226</v>
      </c>
      <c r="F219" s="170" t="s">
        <v>647</v>
      </c>
      <c r="G219" s="62" t="s">
        <v>671</v>
      </c>
      <c r="H219" s="170" t="s">
        <v>677</v>
      </c>
      <c r="I219" s="33"/>
    </row>
    <row r="220" spans="1:9" x14ac:dyDescent="0.25">
      <c r="A220" s="33">
        <v>33</v>
      </c>
      <c r="B220" s="33" t="s">
        <v>725</v>
      </c>
      <c r="C220" s="33" t="s">
        <v>70</v>
      </c>
      <c r="D220" s="33" t="s">
        <v>728</v>
      </c>
      <c r="E220" s="33" t="s">
        <v>698</v>
      </c>
      <c r="F220" s="170" t="s">
        <v>729</v>
      </c>
      <c r="G220" s="62" t="s">
        <v>726</v>
      </c>
      <c r="H220" s="170" t="s">
        <v>732</v>
      </c>
      <c r="I220" s="33"/>
    </row>
    <row r="221" spans="1:9" x14ac:dyDescent="0.25">
      <c r="A221" s="33">
        <v>34</v>
      </c>
      <c r="B221" s="33" t="s">
        <v>596</v>
      </c>
      <c r="C221" s="33" t="s">
        <v>69</v>
      </c>
      <c r="D221" s="33" t="s">
        <v>599</v>
      </c>
      <c r="E221" s="33" t="s">
        <v>226</v>
      </c>
      <c r="F221" s="170" t="s">
        <v>98</v>
      </c>
      <c r="G221" s="62" t="s">
        <v>597</v>
      </c>
      <c r="H221" s="170" t="s">
        <v>602</v>
      </c>
      <c r="I221" s="33"/>
    </row>
    <row r="222" spans="1:9" x14ac:dyDescent="0.25">
      <c r="A222" s="33">
        <v>35</v>
      </c>
      <c r="B222" s="33" t="s">
        <v>777</v>
      </c>
      <c r="C222" s="33" t="s">
        <v>70</v>
      </c>
      <c r="D222" s="33" t="s">
        <v>780</v>
      </c>
      <c r="E222" s="33" t="s">
        <v>698</v>
      </c>
      <c r="F222" s="170" t="s">
        <v>781</v>
      </c>
      <c r="G222" s="62" t="s">
        <v>778</v>
      </c>
      <c r="H222" s="170" t="s">
        <v>602</v>
      </c>
      <c r="I222" s="33"/>
    </row>
    <row r="223" spans="1:9" x14ac:dyDescent="0.25">
      <c r="A223" s="33">
        <v>36</v>
      </c>
      <c r="B223" s="33" t="s">
        <v>527</v>
      </c>
      <c r="C223" s="33" t="s">
        <v>70</v>
      </c>
      <c r="D223" s="33" t="s">
        <v>530</v>
      </c>
      <c r="E223" s="33" t="s">
        <v>226</v>
      </c>
      <c r="F223" s="170" t="s">
        <v>456</v>
      </c>
      <c r="G223" s="62" t="s">
        <v>528</v>
      </c>
      <c r="H223" s="170" t="s">
        <v>532</v>
      </c>
      <c r="I223" s="33"/>
    </row>
    <row r="224" spans="1:9" x14ac:dyDescent="0.25">
      <c r="A224" s="33">
        <v>37</v>
      </c>
      <c r="B224" s="33" t="s">
        <v>501</v>
      </c>
      <c r="C224" s="33" t="s">
        <v>69</v>
      </c>
      <c r="D224" s="33" t="s">
        <v>504</v>
      </c>
      <c r="E224" s="33" t="s">
        <v>226</v>
      </c>
      <c r="F224" s="170" t="s">
        <v>98</v>
      </c>
      <c r="G224" s="62" t="s">
        <v>502</v>
      </c>
      <c r="H224" s="170" t="s">
        <v>509</v>
      </c>
      <c r="I224" s="33"/>
    </row>
    <row r="225" spans="1:9" x14ac:dyDescent="0.25">
      <c r="A225" s="33">
        <v>38</v>
      </c>
      <c r="B225" s="33" t="s">
        <v>848</v>
      </c>
      <c r="C225" s="33" t="s">
        <v>69</v>
      </c>
      <c r="D225" s="33" t="s">
        <v>851</v>
      </c>
      <c r="E225" s="33" t="s">
        <v>698</v>
      </c>
      <c r="F225" s="170" t="s">
        <v>852</v>
      </c>
      <c r="G225" s="62" t="s">
        <v>849</v>
      </c>
      <c r="H225" s="170" t="s">
        <v>855</v>
      </c>
      <c r="I225" s="33"/>
    </row>
    <row r="226" spans="1:9" x14ac:dyDescent="0.25">
      <c r="A226" s="33">
        <v>39</v>
      </c>
      <c r="B226" s="33" t="s">
        <v>1379</v>
      </c>
      <c r="C226" s="33" t="s">
        <v>69</v>
      </c>
      <c r="D226" s="33" t="s">
        <v>1382</v>
      </c>
      <c r="E226" s="33" t="s">
        <v>1383</v>
      </c>
      <c r="F226" s="170" t="s">
        <v>1044</v>
      </c>
      <c r="G226" s="62" t="s">
        <v>1380</v>
      </c>
      <c r="H226" s="170" t="s">
        <v>1386</v>
      </c>
      <c r="I226" s="33"/>
    </row>
    <row r="227" spans="1:9" x14ac:dyDescent="0.25">
      <c r="A227" s="33">
        <v>40</v>
      </c>
      <c r="B227" s="33" t="s">
        <v>1005</v>
      </c>
      <c r="C227" s="33" t="s">
        <v>70</v>
      </c>
      <c r="D227" s="33" t="s">
        <v>1008</v>
      </c>
      <c r="E227" s="33" t="s">
        <v>906</v>
      </c>
      <c r="F227" s="170" t="s">
        <v>907</v>
      </c>
      <c r="G227" s="62" t="s">
        <v>1006</v>
      </c>
      <c r="H227" s="170" t="s">
        <v>1010</v>
      </c>
      <c r="I227" s="33"/>
    </row>
    <row r="228" spans="1:9" x14ac:dyDescent="0.25">
      <c r="A228" s="33">
        <v>41</v>
      </c>
      <c r="B228" s="33" t="s">
        <v>981</v>
      </c>
      <c r="C228" s="33" t="s">
        <v>70</v>
      </c>
      <c r="D228" s="33" t="s">
        <v>984</v>
      </c>
      <c r="E228" s="33" t="s">
        <v>906</v>
      </c>
      <c r="F228" s="170" t="s">
        <v>985</v>
      </c>
      <c r="G228" s="62" t="s">
        <v>982</v>
      </c>
      <c r="H228" s="170" t="s">
        <v>989</v>
      </c>
      <c r="I228" s="33"/>
    </row>
    <row r="229" spans="1:9" x14ac:dyDescent="0.25">
      <c r="A229" s="33">
        <v>42</v>
      </c>
      <c r="B229" s="33" t="s">
        <v>1055</v>
      </c>
      <c r="C229" s="33" t="s">
        <v>69</v>
      </c>
      <c r="D229" s="33" t="s">
        <v>1058</v>
      </c>
      <c r="E229" s="33" t="s">
        <v>1060</v>
      </c>
      <c r="F229" s="170" t="s">
        <v>729</v>
      </c>
      <c r="G229" s="62" t="s">
        <v>1056</v>
      </c>
      <c r="H229" s="170" t="s">
        <v>1062</v>
      </c>
      <c r="I229" s="33"/>
    </row>
    <row r="230" spans="1:9" x14ac:dyDescent="0.25">
      <c r="A230" s="33">
        <v>43</v>
      </c>
      <c r="B230" s="33" t="s">
        <v>1170</v>
      </c>
      <c r="C230" s="33" t="s">
        <v>70</v>
      </c>
      <c r="D230" s="33" t="s">
        <v>1173</v>
      </c>
      <c r="E230" s="33" t="s">
        <v>1060</v>
      </c>
      <c r="F230" s="170" t="s">
        <v>647</v>
      </c>
      <c r="G230" s="62" t="s">
        <v>1171</v>
      </c>
      <c r="H230" s="170" t="s">
        <v>1176</v>
      </c>
      <c r="I230" s="33"/>
    </row>
    <row r="231" spans="1:9" x14ac:dyDescent="0.25">
      <c r="A231" s="33">
        <v>44</v>
      </c>
      <c r="B231" s="33" t="s">
        <v>1404</v>
      </c>
      <c r="C231" s="33" t="s">
        <v>70</v>
      </c>
      <c r="D231" s="33" t="s">
        <v>1407</v>
      </c>
      <c r="E231" s="33" t="s">
        <v>1383</v>
      </c>
      <c r="F231" s="170" t="s">
        <v>1408</v>
      </c>
      <c r="G231" s="62" t="s">
        <v>1405</v>
      </c>
      <c r="H231" s="170" t="s">
        <v>1412</v>
      </c>
      <c r="I231" s="33"/>
    </row>
    <row r="232" spans="1:9" x14ac:dyDescent="0.25">
      <c r="A232" s="33">
        <v>45</v>
      </c>
      <c r="B232" s="33" t="s">
        <v>1274</v>
      </c>
      <c r="C232" s="33" t="s">
        <v>70</v>
      </c>
      <c r="D232" s="33" t="s">
        <v>1277</v>
      </c>
      <c r="E232" s="33" t="s">
        <v>1060</v>
      </c>
      <c r="F232" s="170" t="s">
        <v>1278</v>
      </c>
      <c r="G232" s="62" t="s">
        <v>1275</v>
      </c>
      <c r="H232" s="170" t="s">
        <v>1280</v>
      </c>
      <c r="I232" s="33"/>
    </row>
    <row r="233" spans="1:9" x14ac:dyDescent="0.25">
      <c r="A233" s="33">
        <v>46</v>
      </c>
      <c r="B233" s="33" t="s">
        <v>871</v>
      </c>
      <c r="C233" s="33" t="s">
        <v>69</v>
      </c>
      <c r="D233" s="33" t="s">
        <v>874</v>
      </c>
      <c r="E233" s="33" t="s">
        <v>698</v>
      </c>
      <c r="F233" s="170" t="s">
        <v>875</v>
      </c>
      <c r="G233" s="62" t="s">
        <v>872</v>
      </c>
      <c r="H233" s="170" t="s">
        <v>877</v>
      </c>
      <c r="I233" s="33"/>
    </row>
    <row r="234" spans="1:9" x14ac:dyDescent="0.25">
      <c r="A234" s="33">
        <v>47</v>
      </c>
      <c r="B234" s="33" t="s">
        <v>826</v>
      </c>
      <c r="C234" s="33" t="s">
        <v>70</v>
      </c>
      <c r="D234" s="33" t="s">
        <v>829</v>
      </c>
      <c r="E234" s="33" t="s">
        <v>698</v>
      </c>
      <c r="F234" s="170" t="s">
        <v>98</v>
      </c>
      <c r="G234" s="62" t="s">
        <v>827</v>
      </c>
      <c r="H234" s="170" t="s">
        <v>831</v>
      </c>
      <c r="I234" s="33"/>
    </row>
    <row r="235" spans="1:9" x14ac:dyDescent="0.25">
      <c r="A235" s="33">
        <v>48</v>
      </c>
      <c r="B235" s="33" t="s">
        <v>901</v>
      </c>
      <c r="C235" s="33" t="s">
        <v>70</v>
      </c>
      <c r="D235" s="33" t="s">
        <v>904</v>
      </c>
      <c r="E235" s="33" t="s">
        <v>906</v>
      </c>
      <c r="F235" s="170" t="s">
        <v>907</v>
      </c>
      <c r="G235" s="62" t="s">
        <v>902</v>
      </c>
      <c r="H235" s="170" t="s">
        <v>909</v>
      </c>
      <c r="I235" s="33"/>
    </row>
    <row r="236" spans="1:9" x14ac:dyDescent="0.25">
      <c r="A236" s="33">
        <v>49</v>
      </c>
      <c r="B236" s="33" t="s">
        <v>1192</v>
      </c>
      <c r="C236" s="33" t="s">
        <v>70</v>
      </c>
      <c r="D236" s="33" t="s">
        <v>1195</v>
      </c>
      <c r="E236" s="33" t="s">
        <v>1060</v>
      </c>
      <c r="F236" s="170" t="s">
        <v>1196</v>
      </c>
      <c r="G236" s="62" t="s">
        <v>1193</v>
      </c>
      <c r="H236" s="170" t="s">
        <v>1198</v>
      </c>
      <c r="I236" s="33"/>
    </row>
    <row r="237" spans="1:9" x14ac:dyDescent="0.25">
      <c r="A237" s="33">
        <v>50</v>
      </c>
      <c r="B237" s="33" t="s">
        <v>1469</v>
      </c>
      <c r="C237" s="33" t="s">
        <v>69</v>
      </c>
      <c r="D237" s="33" t="s">
        <v>1472</v>
      </c>
      <c r="E237" s="33" t="s">
        <v>1383</v>
      </c>
      <c r="F237" s="170" t="s">
        <v>1351</v>
      </c>
      <c r="G237" s="62" t="s">
        <v>1470</v>
      </c>
      <c r="H237" s="170" t="s">
        <v>1474</v>
      </c>
      <c r="I237" s="33"/>
    </row>
    <row r="238" spans="1:9" x14ac:dyDescent="0.25">
      <c r="A238" s="33">
        <v>51</v>
      </c>
      <c r="B238" s="33" t="s">
        <v>1451</v>
      </c>
      <c r="C238" s="33" t="s">
        <v>70</v>
      </c>
      <c r="D238" s="33" t="s">
        <v>1454</v>
      </c>
      <c r="E238" s="33" t="s">
        <v>1383</v>
      </c>
      <c r="F238" s="170" t="s">
        <v>1267</v>
      </c>
      <c r="G238" s="62" t="s">
        <v>1452</v>
      </c>
      <c r="H238" s="170" t="s">
        <v>1456</v>
      </c>
      <c r="I238" s="33"/>
    </row>
    <row r="239" spans="1:9" x14ac:dyDescent="0.25">
      <c r="A239" s="33">
        <v>52</v>
      </c>
      <c r="B239" s="33" t="s">
        <v>1250</v>
      </c>
      <c r="C239" s="33" t="s">
        <v>69</v>
      </c>
      <c r="D239" s="33" t="s">
        <v>1253</v>
      </c>
      <c r="E239" s="33" t="s">
        <v>1060</v>
      </c>
      <c r="F239" s="170" t="s">
        <v>875</v>
      </c>
      <c r="G239" s="62" t="s">
        <v>1251</v>
      </c>
      <c r="H239" s="170" t="s">
        <v>1255</v>
      </c>
      <c r="I239" s="33"/>
    </row>
    <row r="240" spans="1:9" x14ac:dyDescent="0.25">
      <c r="A240" s="33">
        <v>53</v>
      </c>
      <c r="B240" s="33" t="s">
        <v>1433</v>
      </c>
      <c r="C240" s="33" t="s">
        <v>69</v>
      </c>
      <c r="D240" s="33" t="s">
        <v>1436</v>
      </c>
      <c r="E240" s="33" t="s">
        <v>1383</v>
      </c>
      <c r="F240" s="170" t="s">
        <v>1044</v>
      </c>
      <c r="G240" s="62" t="s">
        <v>1434</v>
      </c>
      <c r="H240" s="170" t="s">
        <v>1438</v>
      </c>
      <c r="I240" s="33"/>
    </row>
    <row r="241" spans="1:9" x14ac:dyDescent="0.25">
      <c r="A241" s="33">
        <v>54</v>
      </c>
      <c r="B241" s="33" t="s">
        <v>956</v>
      </c>
      <c r="C241" s="33" t="s">
        <v>69</v>
      </c>
      <c r="D241" s="33" t="s">
        <v>959</v>
      </c>
      <c r="E241" s="33" t="s">
        <v>906</v>
      </c>
      <c r="F241" s="170" t="s">
        <v>960</v>
      </c>
      <c r="G241" s="62" t="s">
        <v>957</v>
      </c>
      <c r="H241" s="170" t="s">
        <v>962</v>
      </c>
      <c r="I241" s="33"/>
    </row>
    <row r="242" spans="1:9" x14ac:dyDescent="0.25">
      <c r="A242" s="33">
        <v>55</v>
      </c>
      <c r="B242" s="33" t="s">
        <v>1485</v>
      </c>
      <c r="C242" s="33" t="s">
        <v>69</v>
      </c>
      <c r="D242" s="33" t="s">
        <v>1488</v>
      </c>
      <c r="E242" s="33" t="s">
        <v>1383</v>
      </c>
      <c r="F242" s="170" t="s">
        <v>1338</v>
      </c>
      <c r="G242" s="62" t="s">
        <v>1486</v>
      </c>
      <c r="H242" s="170" t="s">
        <v>1490</v>
      </c>
      <c r="I242" s="33"/>
    </row>
    <row r="243" spans="1:9" x14ac:dyDescent="0.25">
      <c r="A243" s="33">
        <v>56</v>
      </c>
      <c r="B243" s="33" t="s">
        <v>1333</v>
      </c>
      <c r="C243" s="33" t="s">
        <v>69</v>
      </c>
      <c r="D243" s="33" t="s">
        <v>1336</v>
      </c>
      <c r="E243" s="33" t="s">
        <v>1060</v>
      </c>
      <c r="F243" s="170" t="s">
        <v>1047</v>
      </c>
      <c r="G243" s="62" t="s">
        <v>1334</v>
      </c>
      <c r="H243" s="170" t="s">
        <v>1340</v>
      </c>
      <c r="I243" s="33"/>
    </row>
    <row r="244" spans="1:9" x14ac:dyDescent="0.25">
      <c r="A244" s="33">
        <v>57</v>
      </c>
      <c r="B244" s="33" t="s">
        <v>1232</v>
      </c>
      <c r="C244" s="33" t="s">
        <v>69</v>
      </c>
      <c r="D244" s="33" t="s">
        <v>1235</v>
      </c>
      <c r="E244" s="33" t="s">
        <v>1060</v>
      </c>
      <c r="F244" s="170" t="s">
        <v>852</v>
      </c>
      <c r="G244" s="62" t="s">
        <v>1233</v>
      </c>
      <c r="H244" s="170" t="s">
        <v>1237</v>
      </c>
      <c r="I244" s="33"/>
    </row>
    <row r="245" spans="1:9" x14ac:dyDescent="0.25">
      <c r="A245" s="33">
        <v>58</v>
      </c>
      <c r="B245" s="33" t="s">
        <v>1025</v>
      </c>
      <c r="C245" s="33" t="s">
        <v>70</v>
      </c>
      <c r="D245" s="33" t="s">
        <v>1028</v>
      </c>
      <c r="E245" s="33" t="s">
        <v>906</v>
      </c>
      <c r="F245" s="170" t="s">
        <v>1030</v>
      </c>
      <c r="G245" s="62" t="s">
        <v>1026</v>
      </c>
      <c r="H245" s="170" t="s">
        <v>1034</v>
      </c>
      <c r="I245" s="33"/>
    </row>
    <row r="246" spans="1:9" x14ac:dyDescent="0.25">
      <c r="A246" s="33">
        <v>59</v>
      </c>
      <c r="B246" s="33" t="s">
        <v>1298</v>
      </c>
      <c r="C246" s="33" t="s">
        <v>70</v>
      </c>
      <c r="D246" s="33" t="s">
        <v>1301</v>
      </c>
      <c r="E246" s="33" t="s">
        <v>1060</v>
      </c>
      <c r="F246" s="170" t="s">
        <v>1278</v>
      </c>
      <c r="G246" s="62" t="s">
        <v>1299</v>
      </c>
      <c r="H246" s="170" t="s">
        <v>1303</v>
      </c>
      <c r="I246" s="33"/>
    </row>
    <row r="247" spans="1:9" x14ac:dyDescent="0.25">
      <c r="A247" s="33">
        <v>60</v>
      </c>
      <c r="B247" s="33" t="s">
        <v>1359</v>
      </c>
      <c r="C247" s="33" t="s">
        <v>69</v>
      </c>
      <c r="D247" s="33" t="s">
        <v>1362</v>
      </c>
      <c r="E247" s="33" t="s">
        <v>1060</v>
      </c>
      <c r="F247" s="170" t="s">
        <v>852</v>
      </c>
      <c r="G247" s="62" t="s">
        <v>1360</v>
      </c>
      <c r="H247" s="170" t="s">
        <v>1365</v>
      </c>
      <c r="I247" s="33"/>
    </row>
    <row r="248" spans="1:9" x14ac:dyDescent="0.25">
      <c r="A248" s="33"/>
      <c r="B248" s="33"/>
      <c r="C248" s="33"/>
      <c r="D248" s="33"/>
      <c r="E248" s="33"/>
      <c r="F248" s="170"/>
      <c r="G248" s="62"/>
      <c r="H248" s="170"/>
      <c r="I248" s="33"/>
    </row>
    <row r="249" spans="1:9" ht="22.5" customHeight="1" x14ac:dyDescent="0.25">
      <c r="A249" s="324" t="s">
        <v>2030</v>
      </c>
      <c r="B249" s="324"/>
      <c r="C249" s="324"/>
      <c r="D249" s="324"/>
      <c r="E249" s="324"/>
      <c r="F249" s="324"/>
      <c r="G249" s="324"/>
      <c r="H249" s="324"/>
      <c r="I249" s="324"/>
    </row>
    <row r="250" spans="1:9" x14ac:dyDescent="0.25">
      <c r="A250" s="301" t="s">
        <v>3</v>
      </c>
      <c r="B250" s="301" t="s">
        <v>4</v>
      </c>
      <c r="C250" s="300" t="s">
        <v>6</v>
      </c>
      <c r="D250" s="301" t="s">
        <v>8</v>
      </c>
      <c r="E250" s="301" t="s">
        <v>10</v>
      </c>
      <c r="F250" s="301"/>
      <c r="G250" s="301" t="s">
        <v>1981</v>
      </c>
      <c r="H250" s="301" t="s">
        <v>2028</v>
      </c>
      <c r="I250" s="304" t="s">
        <v>2029</v>
      </c>
    </row>
    <row r="251" spans="1:9" x14ac:dyDescent="0.25">
      <c r="A251" s="301"/>
      <c r="B251" s="301"/>
      <c r="C251" s="300"/>
      <c r="D251" s="301"/>
      <c r="E251" s="7" t="s">
        <v>58</v>
      </c>
      <c r="F251" s="158" t="s">
        <v>1982</v>
      </c>
      <c r="G251" s="301"/>
      <c r="H251" s="301"/>
      <c r="I251" s="304"/>
    </row>
    <row r="252" spans="1:9" x14ac:dyDescent="0.25">
      <c r="A252" s="33">
        <v>1</v>
      </c>
      <c r="B252" s="33" t="s">
        <v>2033</v>
      </c>
      <c r="C252" s="33" t="s">
        <v>69</v>
      </c>
      <c r="D252" s="33" t="s">
        <v>2054</v>
      </c>
      <c r="E252" s="33" t="s">
        <v>1060</v>
      </c>
      <c r="F252" s="170" t="s">
        <v>287</v>
      </c>
      <c r="G252" s="62" t="s">
        <v>2055</v>
      </c>
      <c r="H252" s="170" t="s">
        <v>2056</v>
      </c>
      <c r="I252" s="33"/>
    </row>
    <row r="253" spans="1:9" x14ac:dyDescent="0.25">
      <c r="A253" s="33">
        <v>2</v>
      </c>
      <c r="B253" s="33" t="s">
        <v>2057</v>
      </c>
      <c r="C253" s="33" t="s">
        <v>70</v>
      </c>
      <c r="D253" s="33" t="s">
        <v>2058</v>
      </c>
      <c r="E253" s="33" t="s">
        <v>1060</v>
      </c>
      <c r="F253" s="170" t="s">
        <v>98</v>
      </c>
      <c r="G253" s="62" t="s">
        <v>2059</v>
      </c>
      <c r="H253" s="170" t="s">
        <v>2056</v>
      </c>
      <c r="I253" s="33"/>
    </row>
    <row r="254" spans="1:9" x14ac:dyDescent="0.25">
      <c r="A254" s="33">
        <v>3</v>
      </c>
      <c r="B254" s="33" t="s">
        <v>1671</v>
      </c>
      <c r="C254" s="33" t="s">
        <v>70</v>
      </c>
      <c r="D254" s="33" t="s">
        <v>1674</v>
      </c>
      <c r="E254" s="33" t="s">
        <v>1383</v>
      </c>
      <c r="F254" s="170" t="s">
        <v>852</v>
      </c>
      <c r="G254" s="62" t="s">
        <v>1672</v>
      </c>
      <c r="H254" s="170" t="s">
        <v>1678</v>
      </c>
      <c r="I254" s="33"/>
    </row>
    <row r="255" spans="1:9" x14ac:dyDescent="0.25">
      <c r="A255" s="33">
        <v>4</v>
      </c>
      <c r="B255" s="33" t="s">
        <v>1747</v>
      </c>
      <c r="C255" s="33" t="s">
        <v>69</v>
      </c>
      <c r="D255" s="33" t="s">
        <v>1750</v>
      </c>
      <c r="E255" s="33" t="s">
        <v>1725</v>
      </c>
      <c r="F255" s="170" t="s">
        <v>1278</v>
      </c>
      <c r="G255" s="62" t="s">
        <v>1748</v>
      </c>
      <c r="H255" s="170" t="s">
        <v>1754</v>
      </c>
      <c r="I255" s="33"/>
    </row>
    <row r="256" spans="1:9" x14ac:dyDescent="0.25">
      <c r="A256" s="33">
        <v>5</v>
      </c>
      <c r="B256" s="33" t="s">
        <v>1720</v>
      </c>
      <c r="C256" s="33" t="s">
        <v>69</v>
      </c>
      <c r="D256" s="33" t="s">
        <v>1723</v>
      </c>
      <c r="E256" s="33" t="s">
        <v>1725</v>
      </c>
      <c r="F256" s="170" t="s">
        <v>1278</v>
      </c>
      <c r="G256" s="62" t="s">
        <v>1721</v>
      </c>
      <c r="H256" s="170" t="s">
        <v>1728</v>
      </c>
      <c r="I256" s="33"/>
    </row>
    <row r="257" spans="1:9" x14ac:dyDescent="0.25">
      <c r="A257" s="33">
        <v>6</v>
      </c>
      <c r="B257" s="33" t="s">
        <v>1802</v>
      </c>
      <c r="C257" s="33" t="s">
        <v>69</v>
      </c>
      <c r="D257" s="33" t="s">
        <v>1805</v>
      </c>
      <c r="E257" s="33" t="s">
        <v>1775</v>
      </c>
      <c r="F257" s="170" t="s">
        <v>1047</v>
      </c>
      <c r="G257" s="62" t="s">
        <v>1803</v>
      </c>
      <c r="H257" s="170" t="s">
        <v>1809</v>
      </c>
      <c r="I257" s="33"/>
    </row>
    <row r="258" spans="1:9" x14ac:dyDescent="0.25">
      <c r="A258" s="33">
        <v>7</v>
      </c>
      <c r="B258" s="33" t="s">
        <v>1688</v>
      </c>
      <c r="C258" s="33" t="s">
        <v>70</v>
      </c>
      <c r="D258" s="33" t="s">
        <v>1691</v>
      </c>
      <c r="E258" s="33" t="s">
        <v>1383</v>
      </c>
      <c r="F258" s="170" t="s">
        <v>1278</v>
      </c>
      <c r="G258" s="62" t="s">
        <v>1689</v>
      </c>
      <c r="H258" s="170" t="s">
        <v>1694</v>
      </c>
      <c r="I258" s="33"/>
    </row>
    <row r="259" spans="1:9" x14ac:dyDescent="0.25">
      <c r="A259" s="33">
        <v>8</v>
      </c>
      <c r="B259" s="33" t="s">
        <v>1760</v>
      </c>
      <c r="C259" s="33" t="s">
        <v>70</v>
      </c>
      <c r="D259" s="33" t="s">
        <v>1763</v>
      </c>
      <c r="E259" s="33" t="s">
        <v>1725</v>
      </c>
      <c r="F259" s="170" t="s">
        <v>1278</v>
      </c>
      <c r="G259" s="62" t="s">
        <v>1761</v>
      </c>
      <c r="H259" s="170" t="s">
        <v>1765</v>
      </c>
      <c r="I259" s="33"/>
    </row>
    <row r="260" spans="1:9" x14ac:dyDescent="0.25">
      <c r="A260" s="33">
        <v>9</v>
      </c>
      <c r="B260" s="33" t="s">
        <v>1734</v>
      </c>
      <c r="C260" s="33" t="s">
        <v>69</v>
      </c>
      <c r="D260" s="33" t="s">
        <v>1737</v>
      </c>
      <c r="E260" s="33" t="s">
        <v>1725</v>
      </c>
      <c r="F260" s="170" t="s">
        <v>1278</v>
      </c>
      <c r="G260" s="62" t="s">
        <v>1735</v>
      </c>
      <c r="H260" s="170" t="s">
        <v>1740</v>
      </c>
      <c r="I260" s="33"/>
    </row>
    <row r="261" spans="1:9" x14ac:dyDescent="0.25">
      <c r="A261" s="33">
        <v>10</v>
      </c>
      <c r="B261" s="33" t="s">
        <v>1770</v>
      </c>
      <c r="C261" s="33" t="s">
        <v>69</v>
      </c>
      <c r="D261" s="33" t="s">
        <v>1773</v>
      </c>
      <c r="E261" s="33" t="s">
        <v>1775</v>
      </c>
      <c r="F261" s="170" t="s">
        <v>1776</v>
      </c>
      <c r="G261" s="62" t="s">
        <v>1771</v>
      </c>
      <c r="H261" s="170" t="s">
        <v>1779</v>
      </c>
      <c r="I261" s="33"/>
    </row>
    <row r="262" spans="1:9" x14ac:dyDescent="0.25">
      <c r="A262" s="33">
        <v>11</v>
      </c>
      <c r="B262" s="33" t="s">
        <v>1658</v>
      </c>
      <c r="C262" s="33" t="s">
        <v>70</v>
      </c>
      <c r="D262" s="33" t="s">
        <v>1661</v>
      </c>
      <c r="E262" s="33" t="s">
        <v>698</v>
      </c>
      <c r="F262" s="170" t="s">
        <v>875</v>
      </c>
      <c r="G262" s="62" t="s">
        <v>1659</v>
      </c>
      <c r="H262" s="170" t="s">
        <v>1664</v>
      </c>
      <c r="I262" s="33"/>
    </row>
    <row r="263" spans="1:9" x14ac:dyDescent="0.25">
      <c r="A263" s="33">
        <v>12</v>
      </c>
      <c r="B263" s="33" t="s">
        <v>1791</v>
      </c>
      <c r="C263" s="33" t="s">
        <v>69</v>
      </c>
      <c r="D263" s="33" t="s">
        <v>1794</v>
      </c>
      <c r="E263" s="33" t="s">
        <v>1775</v>
      </c>
      <c r="F263" s="170" t="s">
        <v>1776</v>
      </c>
      <c r="G263" s="62" t="s">
        <v>1792</v>
      </c>
      <c r="H263" s="170" t="s">
        <v>1797</v>
      </c>
      <c r="I263" s="33"/>
    </row>
    <row r="264" spans="1:9" x14ac:dyDescent="0.25">
      <c r="A264" s="33">
        <v>13</v>
      </c>
      <c r="B264" s="33" t="s">
        <v>1704</v>
      </c>
      <c r="C264" s="33" t="s">
        <v>69</v>
      </c>
      <c r="D264" s="33" t="s">
        <v>1707</v>
      </c>
      <c r="E264" s="33" t="s">
        <v>1709</v>
      </c>
      <c r="F264" s="170" t="s">
        <v>1278</v>
      </c>
      <c r="G264" s="62" t="s">
        <v>1705</v>
      </c>
      <c r="H264" s="170" t="s">
        <v>1712</v>
      </c>
      <c r="I264" s="33"/>
    </row>
    <row r="266" spans="1:9" x14ac:dyDescent="0.25">
      <c r="B266" t="s">
        <v>2042</v>
      </c>
      <c r="G266" s="141" t="s">
        <v>2060</v>
      </c>
    </row>
    <row r="267" spans="1:9" x14ac:dyDescent="0.25">
      <c r="B267" t="s">
        <v>2044</v>
      </c>
      <c r="G267" s="141" t="s">
        <v>2032</v>
      </c>
    </row>
    <row r="271" spans="1:9" x14ac:dyDescent="0.25">
      <c r="B271" t="s">
        <v>2045</v>
      </c>
      <c r="G271" s="141" t="s">
        <v>2033</v>
      </c>
    </row>
    <row r="272" spans="1:9" x14ac:dyDescent="0.25">
      <c r="B272" t="s">
        <v>2046</v>
      </c>
      <c r="G272" s="141" t="s">
        <v>2034</v>
      </c>
    </row>
  </sheetData>
  <mergeCells count="63">
    <mergeCell ref="I250:I251"/>
    <mergeCell ref="H186:H187"/>
    <mergeCell ref="I186:I187"/>
    <mergeCell ref="A249:I249"/>
    <mergeCell ref="A250:A251"/>
    <mergeCell ref="B250:B251"/>
    <mergeCell ref="C250:C251"/>
    <mergeCell ref="D250:D251"/>
    <mergeCell ref="E250:F250"/>
    <mergeCell ref="G250:G251"/>
    <mergeCell ref="H250:H251"/>
    <mergeCell ref="A186:A187"/>
    <mergeCell ref="B186:B187"/>
    <mergeCell ref="C186:C187"/>
    <mergeCell ref="D186:D187"/>
    <mergeCell ref="E186:F186"/>
    <mergeCell ref="G186:G187"/>
    <mergeCell ref="H157:H158"/>
    <mergeCell ref="I157:I158"/>
    <mergeCell ref="A181:I181"/>
    <mergeCell ref="A182:I182"/>
    <mergeCell ref="A183:I183"/>
    <mergeCell ref="A185:I185"/>
    <mergeCell ref="G100:G101"/>
    <mergeCell ref="H100:H101"/>
    <mergeCell ref="I100:I101"/>
    <mergeCell ref="A156:I156"/>
    <mergeCell ref="A157:A158"/>
    <mergeCell ref="B157:B158"/>
    <mergeCell ref="C157:C158"/>
    <mergeCell ref="D157:D158"/>
    <mergeCell ref="E157:F157"/>
    <mergeCell ref="G157:G158"/>
    <mergeCell ref="A100:A101"/>
    <mergeCell ref="B100:B101"/>
    <mergeCell ref="C100:C101"/>
    <mergeCell ref="D100:D101"/>
    <mergeCell ref="E100:F100"/>
    <mergeCell ref="I74:I75"/>
    <mergeCell ref="A95:I95"/>
    <mergeCell ref="A96:I96"/>
    <mergeCell ref="A97:I97"/>
    <mergeCell ref="A99:I99"/>
    <mergeCell ref="A73:H73"/>
    <mergeCell ref="A74:A75"/>
    <mergeCell ref="B74:B75"/>
    <mergeCell ref="C74:C75"/>
    <mergeCell ref="D74:D75"/>
    <mergeCell ref="E74:F74"/>
    <mergeCell ref="G74:G75"/>
    <mergeCell ref="H74:H75"/>
    <mergeCell ref="A1:I1"/>
    <mergeCell ref="A2:I2"/>
    <mergeCell ref="A3:I3"/>
    <mergeCell ref="A5:I5"/>
    <mergeCell ref="A6:A7"/>
    <mergeCell ref="B6:B7"/>
    <mergeCell ref="C6:C7"/>
    <mergeCell ref="D6:D7"/>
    <mergeCell ref="E6:F6"/>
    <mergeCell ref="G6:G7"/>
    <mergeCell ref="H6:H7"/>
    <mergeCell ref="I6:I7"/>
  </mergeCells>
  <pageMargins left="0.45" right="0" top="0.75" bottom="0.25" header="0.30000000000000004" footer="0.25"/>
  <pageSetup paperSize="0" scale="85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DATA</vt:lpstr>
      <vt:lpstr>DUK_GURU</vt:lpstr>
      <vt:lpstr>LABEL NAMA URUT </vt:lpstr>
      <vt:lpstr>data absen</vt:lpstr>
      <vt:lpstr>REKAP TENDIK SMAN 1 BATU</vt:lpstr>
      <vt:lpstr>Sheet3</vt:lpstr>
      <vt:lpstr>Data_BUP</vt:lpstr>
      <vt:lpstr>DATA!Print_Area</vt:lpstr>
      <vt:lpstr>Data_BUP!Print_Area</vt:lpstr>
      <vt:lpstr>DUK_GURU!Print_Area</vt:lpstr>
      <vt:lpstr>DATA!Print_Titles</vt:lpstr>
      <vt:lpstr>DUK_GURU!Print_Titles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information_komp</dc:creator>
  <cp:lastModifiedBy>IRHAM</cp:lastModifiedBy>
  <cp:lastPrinted>2026-10-15T03:22:49Z</cp:lastPrinted>
  <dcterms:created xsi:type="dcterms:W3CDTF">2009-03-05T00:49:32Z</dcterms:created>
  <dcterms:modified xsi:type="dcterms:W3CDTF">2026-10-15T03:25:10Z</dcterms:modified>
</cp:coreProperties>
</file>